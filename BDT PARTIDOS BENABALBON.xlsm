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harts/chart10.xml" ContentType="application/vnd.openxmlformats-officedocument.drawingml.chart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drawings/drawing5.xml" ContentType="application/vnd.openxmlformats-officedocument.drawing+xml"/>
  <Override PartName="/xl/charts/chart11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2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ctrlProps/ctrlProp2.xml" ContentType="application/vnd.ms-excel.controlproperties+xml"/>
  <Override PartName="/xl/charts/chart13.xml" ContentType="application/vnd.openxmlformats-officedocument.drawingml.chart+xml"/>
  <Override PartName="/xl/drawings/drawing7.xml" ContentType="application/vnd.openxmlformats-officedocument.drawing+xml"/>
  <Override PartName="/xl/charts/chart1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05" codeName="{E5D1E7B1-6628-F0F0-D09B-76B25B5F3CD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Volumes/Mac Satecchi/Mac/Web-stats/"/>
    </mc:Choice>
  </mc:AlternateContent>
  <xr:revisionPtr revIDLastSave="0" documentId="13_ncr:1_{B14C63BD-82A4-7742-8C79-27F79CFB2B3E}" xr6:coauthVersionLast="47" xr6:coauthVersionMax="47" xr10:uidLastSave="{00000000-0000-0000-0000-000000000000}"/>
  <bookViews>
    <workbookView xWindow="7200" yWindow="2080" windowWidth="41760" windowHeight="25640" activeTab="8" xr2:uid="{00000000-000D-0000-FFFF-FFFF00000000}"/>
  </bookViews>
  <sheets>
    <sheet name="FICHA_PARTIDO" sheetId="2" r:id="rId1"/>
    <sheet name="DASHBOARD GENERAL" sheetId="16" r:id="rId2"/>
    <sheet name="TEAM_ANALYTICS" sheetId="1" r:id="rId3"/>
    <sheet name="LISTAS" sheetId="3" r:id="rId4"/>
    <sheet name="SISTEMA_PRO" sheetId="4" r:id="rId5"/>
    <sheet name="HELPER_JUGADOR" sheetId="5" r:id="rId6"/>
    <sheet name="RADAR_JUGADOR" sheetId="6" r:id="rId7"/>
    <sheet name="CALCULOS" sheetId="15" r:id="rId8"/>
    <sheet name="BD_EVENTOS" sheetId="14" r:id="rId9"/>
    <sheet name="SISTEMA_COACH" sheetId="7" r:id="rId10"/>
    <sheet name="PANEL_COACH" sheetId="8" r:id="rId11"/>
    <sheet name="SISTEMA_LIVE" sheetId="9" r:id="rId12"/>
    <sheet name="ABP" sheetId="10" r:id="rId13"/>
    <sheet name="EXPORTAR" sheetId="11" state="hidden" r:id="rId14"/>
    <sheet name="PESOS" sheetId="12" state="hidden" r:id="rId15"/>
    <sheet name="VALORACION_AUTO" sheetId="13" state="hidden" r:id="rId16"/>
  </sheets>
  <definedNames>
    <definedName name="_xleta.COUNTIFS" hidden="1" xlm="1">#NAME?</definedName>
    <definedName name="ListaEventos">LISTAS!$A$1:$A$18</definedName>
    <definedName name="ListaJugadores">FICHA_PARTIDO!$E$5:$E$22</definedName>
    <definedName name="ListaResultados">LISTAS!$B$1:$B$6</definedName>
    <definedName name="ListaZonas">LISTAS!$C$1:$C$10</definedName>
    <definedName name="SegmentaciónDeDatos_JUGADOR">#N/A</definedName>
    <definedName name="SegmentaciónDeDatos_RIVAL">#N/A</definedName>
  </definedNames>
  <calcPr calcId="191029"/>
  <pivotCaches>
    <pivotCache cacheId="17" r:id="rId17"/>
  </pivotCaches>
  <extLst>
    <ext xmlns:x14="http://schemas.microsoft.com/office/spreadsheetml/2009/9/main" uri="{BBE1A952-AA13-448e-AADC-164F8A28A991}">
      <x14:slicerCaches>
        <x14:slicerCache r:id="rId18"/>
        <x14:slicerCache r:id="rId19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69" i="15" l="1"/>
  <c r="Z68" i="15"/>
  <c r="Z66" i="15"/>
  <c r="Z65" i="15"/>
  <c r="Z67" i="15"/>
  <c r="X36" i="15"/>
  <c r="B21" i="16"/>
  <c r="B20" i="16"/>
  <c r="B3" i="16" l="1"/>
  <c r="B6" i="16"/>
  <c r="B24" i="16" l="1"/>
  <c r="B5" i="4"/>
  <c r="B7" i="4"/>
  <c r="B6" i="4"/>
  <c r="B8" i="4"/>
  <c r="A19" i="13"/>
  <c r="B19" i="13" s="1"/>
  <c r="L19" i="13" s="1"/>
  <c r="A18" i="13"/>
  <c r="B18" i="13" s="1"/>
  <c r="O18" i="13" s="1"/>
  <c r="A17" i="13"/>
  <c r="C17" i="13" s="1"/>
  <c r="A16" i="13"/>
  <c r="A15" i="13"/>
  <c r="C15" i="13" s="1"/>
  <c r="A14" i="13"/>
  <c r="A13" i="13"/>
  <c r="B13" i="13" s="1"/>
  <c r="A12" i="13"/>
  <c r="B12" i="13" s="1"/>
  <c r="A11" i="13"/>
  <c r="A10" i="13"/>
  <c r="B10" i="13" s="1"/>
  <c r="A9" i="13"/>
  <c r="C9" i="13" s="1"/>
  <c r="A8" i="13"/>
  <c r="A7" i="13"/>
  <c r="B7" i="13" s="1"/>
  <c r="A6" i="13"/>
  <c r="B6" i="13" s="1"/>
  <c r="A5" i="13"/>
  <c r="A4" i="13"/>
  <c r="C4" i="13" s="1"/>
  <c r="A3" i="13"/>
  <c r="A2" i="13"/>
  <c r="X1" i="13"/>
  <c r="V16" i="13" s="1"/>
  <c r="W16" i="13" s="1"/>
  <c r="B8" i="8"/>
  <c r="B7" i="8"/>
  <c r="B4" i="8"/>
  <c r="A2" i="6"/>
  <c r="A2" i="5"/>
  <c r="B2" i="5" s="1"/>
  <c r="C2" i="5"/>
  <c r="B15" i="4"/>
  <c r="B14" i="4"/>
  <c r="B13" i="4"/>
  <c r="B12" i="4"/>
  <c r="B11" i="4"/>
  <c r="B10" i="4"/>
  <c r="B9" i="4"/>
  <c r="B16" i="1"/>
  <c r="B15" i="1"/>
  <c r="B2" i="13"/>
  <c r="I2" i="13" s="1"/>
  <c r="C2" i="13"/>
  <c r="AB11" i="13" s="1"/>
  <c r="F2" i="5"/>
  <c r="D2" i="5"/>
  <c r="B26" i="16"/>
  <c r="B20" i="1"/>
  <c r="E6" i="1"/>
  <c r="B16" i="16"/>
  <c r="H11" i="1"/>
  <c r="B18" i="1"/>
  <c r="B21" i="1"/>
  <c r="H10" i="1"/>
  <c r="B10" i="1"/>
  <c r="E12" i="1"/>
  <c r="B9" i="1"/>
  <c r="H12" i="1"/>
  <c r="B7" i="9"/>
  <c r="B5" i="9"/>
  <c r="E5" i="1"/>
  <c r="B6" i="9"/>
  <c r="B3" i="1"/>
  <c r="B12" i="1"/>
  <c r="B7" i="16"/>
  <c r="B9" i="9"/>
  <c r="E11" i="1"/>
  <c r="B15" i="16"/>
  <c r="B4" i="9"/>
  <c r="B17" i="1"/>
  <c r="B13" i="1"/>
  <c r="B4" i="1"/>
  <c r="H4" i="1"/>
  <c r="H3" i="1"/>
  <c r="C19" i="13" l="1"/>
  <c r="K2" i="5"/>
  <c r="E2" i="5"/>
  <c r="C2" i="6" s="1"/>
  <c r="J2" i="5"/>
  <c r="G2" i="5"/>
  <c r="D2" i="6" s="1"/>
  <c r="I2" i="5"/>
  <c r="H19" i="13"/>
  <c r="H2" i="13"/>
  <c r="B22" i="16"/>
  <c r="B7" i="1"/>
  <c r="B6" i="1"/>
  <c r="B11" i="16" s="1"/>
  <c r="B17" i="16"/>
  <c r="E3" i="1"/>
  <c r="E4" i="1"/>
  <c r="H2" i="5"/>
  <c r="B5" i="1"/>
  <c r="D12" i="13"/>
  <c r="F12" i="13"/>
  <c r="E2" i="13"/>
  <c r="J2" i="13"/>
  <c r="B9" i="13"/>
  <c r="T9" i="13" s="1"/>
  <c r="O13" i="13"/>
  <c r="G13" i="13"/>
  <c r="H13" i="13"/>
  <c r="D13" i="13"/>
  <c r="I13" i="13"/>
  <c r="L13" i="13"/>
  <c r="T7" i="13"/>
  <c r="K7" i="13"/>
  <c r="AB12" i="13"/>
  <c r="AB6" i="13"/>
  <c r="AB7" i="13"/>
  <c r="P2" i="13"/>
  <c r="F2" i="13"/>
  <c r="C13" i="13"/>
  <c r="I18" i="13"/>
  <c r="D18" i="13"/>
  <c r="C10" i="13"/>
  <c r="M18" i="13"/>
  <c r="B2" i="6"/>
  <c r="AB13" i="13"/>
  <c r="P7" i="13"/>
  <c r="G7" i="13"/>
  <c r="AB10" i="13"/>
  <c r="I19" i="13"/>
  <c r="F7" i="13"/>
  <c r="P13" i="13"/>
  <c r="C18" i="13"/>
  <c r="N19" i="13"/>
  <c r="N18" i="13"/>
  <c r="C8" i="13"/>
  <c r="E13" i="13"/>
  <c r="AB1" i="13"/>
  <c r="G2" i="13"/>
  <c r="T13" i="13"/>
  <c r="J13" i="13"/>
  <c r="L2" i="13"/>
  <c r="T2" i="13"/>
  <c r="K13" i="13"/>
  <c r="L7" i="13"/>
  <c r="F18" i="13"/>
  <c r="B8" i="13"/>
  <c r="E8" i="13" s="1"/>
  <c r="K9" i="13"/>
  <c r="D7" i="13"/>
  <c r="M9" i="13"/>
  <c r="H18" i="13"/>
  <c r="N13" i="13"/>
  <c r="AB3" i="13"/>
  <c r="O7" i="13"/>
  <c r="L18" i="13"/>
  <c r="T18" i="13"/>
  <c r="F13" i="13"/>
  <c r="AB4" i="13"/>
  <c r="B4" i="13"/>
  <c r="L4" i="13" s="1"/>
  <c r="G18" i="13"/>
  <c r="H7" i="13"/>
  <c r="E7" i="13"/>
  <c r="M13" i="13"/>
  <c r="AB5" i="13"/>
  <c r="AB2" i="13"/>
  <c r="J12" i="13"/>
  <c r="B15" i="13"/>
  <c r="H15" i="13" s="1"/>
  <c r="D2" i="13"/>
  <c r="K12" i="13"/>
  <c r="I7" i="13"/>
  <c r="C7" i="13"/>
  <c r="O2" i="13"/>
  <c r="AB8" i="13"/>
  <c r="C12" i="13"/>
  <c r="N2" i="13"/>
  <c r="H13" i="1"/>
  <c r="I11" i="1" s="1"/>
  <c r="H5" i="1"/>
  <c r="B8" i="9"/>
  <c r="E10" i="13"/>
  <c r="M10" i="13"/>
  <c r="N10" i="13"/>
  <c r="F10" i="13"/>
  <c r="T10" i="13"/>
  <c r="K10" i="13"/>
  <c r="J10" i="13"/>
  <c r="P10" i="13"/>
  <c r="H10" i="13"/>
  <c r="L10" i="13"/>
  <c r="D10" i="13"/>
  <c r="O10" i="13"/>
  <c r="T6" i="13"/>
  <c r="N6" i="13"/>
  <c r="H6" i="13"/>
  <c r="J6" i="13"/>
  <c r="G19" i="13"/>
  <c r="P12" i="13"/>
  <c r="K18" i="13"/>
  <c r="J18" i="13"/>
  <c r="E18" i="13"/>
  <c r="M6" i="13"/>
  <c r="K6" i="13"/>
  <c r="C14" i="13"/>
  <c r="L6" i="13"/>
  <c r="E19" i="13"/>
  <c r="D6" i="13"/>
  <c r="B14" i="13"/>
  <c r="L14" i="13" s="1"/>
  <c r="M2" i="13"/>
  <c r="B16" i="13"/>
  <c r="L16" i="13" s="1"/>
  <c r="J19" i="13"/>
  <c r="P18" i="13"/>
  <c r="P6" i="13"/>
  <c r="C11" i="13"/>
  <c r="B11" i="13"/>
  <c r="L11" i="13" s="1"/>
  <c r="B17" i="13"/>
  <c r="K17" i="13" s="1"/>
  <c r="G15" i="13"/>
  <c r="M12" i="13"/>
  <c r="T12" i="13"/>
  <c r="I12" i="13"/>
  <c r="E6" i="13"/>
  <c r="B3" i="13"/>
  <c r="O3" i="13" s="1"/>
  <c r="C3" i="13"/>
  <c r="E12" i="13"/>
  <c r="K19" i="13"/>
  <c r="G12" i="13"/>
  <c r="P19" i="13"/>
  <c r="M19" i="13"/>
  <c r="N7" i="13"/>
  <c r="B5" i="13"/>
  <c r="M5" i="13" s="1"/>
  <c r="F19" i="13"/>
  <c r="J7" i="13"/>
  <c r="C6" i="13"/>
  <c r="L12" i="13"/>
  <c r="T19" i="13"/>
  <c r="M7" i="13"/>
  <c r="I10" i="13"/>
  <c r="K2" i="13"/>
  <c r="P9" i="13"/>
  <c r="G10" i="13"/>
  <c r="AB9" i="13"/>
  <c r="C5" i="13"/>
  <c r="I6" i="13"/>
  <c r="C16" i="13"/>
  <c r="H12" i="13"/>
  <c r="N12" i="13"/>
  <c r="D19" i="13"/>
  <c r="F6" i="13"/>
  <c r="O12" i="13"/>
  <c r="O19" i="13"/>
  <c r="O6" i="13"/>
  <c r="G6" i="13"/>
  <c r="B8" i="16"/>
  <c r="B11" i="1"/>
  <c r="B14" i="1"/>
  <c r="B19" i="1"/>
  <c r="V2" i="13"/>
  <c r="Y2" i="13" s="1"/>
  <c r="V4" i="13"/>
  <c r="W4" i="13" s="1"/>
  <c r="V7" i="13"/>
  <c r="W7" i="13" s="1"/>
  <c r="V5" i="13"/>
  <c r="W5" i="13" s="1"/>
  <c r="V11" i="13"/>
  <c r="W11" i="13" s="1"/>
  <c r="V15" i="13"/>
  <c r="W15" i="13" s="1"/>
  <c r="V17" i="13"/>
  <c r="W17" i="13" s="1"/>
  <c r="V10" i="13"/>
  <c r="W10" i="13" s="1"/>
  <c r="V6" i="13"/>
  <c r="W6" i="13" s="1"/>
  <c r="V8" i="13"/>
  <c r="W8" i="13" s="1"/>
  <c r="V3" i="13"/>
  <c r="W3" i="13" s="1"/>
  <c r="V14" i="13"/>
  <c r="W14" i="13" s="1"/>
  <c r="V9" i="13"/>
  <c r="W9" i="13" s="1"/>
  <c r="V18" i="13"/>
  <c r="W18" i="13" s="1"/>
  <c r="V12" i="13"/>
  <c r="W12" i="13" s="1"/>
  <c r="V19" i="13"/>
  <c r="W19" i="13" s="1"/>
  <c r="V13" i="13"/>
  <c r="W13" i="13" s="1"/>
  <c r="F2" i="6" l="1"/>
  <c r="E2" i="6"/>
  <c r="D5" i="13"/>
  <c r="H9" i="13"/>
  <c r="G9" i="13"/>
  <c r="N9" i="13"/>
  <c r="E14" i="13"/>
  <c r="J14" i="13"/>
  <c r="J15" i="13"/>
  <c r="N8" i="13"/>
  <c r="F9" i="13"/>
  <c r="E15" i="13"/>
  <c r="D14" i="13"/>
  <c r="I9" i="13"/>
  <c r="J9" i="13"/>
  <c r="L8" i="13"/>
  <c r="I15" i="13"/>
  <c r="E9" i="13"/>
  <c r="O15" i="13"/>
  <c r="D9" i="13"/>
  <c r="O9" i="13"/>
  <c r="L9" i="13"/>
  <c r="B8" i="1"/>
  <c r="B10" i="16"/>
  <c r="B12" i="16" s="1"/>
  <c r="I10" i="1"/>
  <c r="M14" i="13"/>
  <c r="D11" i="13"/>
  <c r="J11" i="13"/>
  <c r="P4" i="13"/>
  <c r="I12" i="1"/>
  <c r="N4" i="13"/>
  <c r="I3" i="13"/>
  <c r="H5" i="13"/>
  <c r="D15" i="13"/>
  <c r="K3" i="13"/>
  <c r="M4" i="13"/>
  <c r="F11" i="13"/>
  <c r="J4" i="13"/>
  <c r="H11" i="13"/>
  <c r="T4" i="13"/>
  <c r="F4" i="13"/>
  <c r="E4" i="13"/>
  <c r="M15" i="13"/>
  <c r="F15" i="13"/>
  <c r="L15" i="13"/>
  <c r="K15" i="13"/>
  <c r="I4" i="13"/>
  <c r="D4" i="13"/>
  <c r="E11" i="13"/>
  <c r="M3" i="13"/>
  <c r="J3" i="13"/>
  <c r="F14" i="13"/>
  <c r="Q13" i="13"/>
  <c r="R13" i="13"/>
  <c r="S13" i="13" s="1"/>
  <c r="G14" i="13"/>
  <c r="J8" i="13"/>
  <c r="D8" i="13"/>
  <c r="P8" i="13"/>
  <c r="O8" i="13"/>
  <c r="T8" i="13"/>
  <c r="G8" i="13"/>
  <c r="I8" i="13"/>
  <c r="M8" i="13"/>
  <c r="Q2" i="13"/>
  <c r="H8" i="13"/>
  <c r="M11" i="13"/>
  <c r="K5" i="13"/>
  <c r="O4" i="13"/>
  <c r="G4" i="13"/>
  <c r="F8" i="13"/>
  <c r="O14" i="13"/>
  <c r="O17" i="13"/>
  <c r="D17" i="13"/>
  <c r="N11" i="13"/>
  <c r="K14" i="13"/>
  <c r="I14" i="13"/>
  <c r="K4" i="13"/>
  <c r="E5" i="13"/>
  <c r="G11" i="13"/>
  <c r="P14" i="13"/>
  <c r="T15" i="13"/>
  <c r="P15" i="13"/>
  <c r="H4" i="13"/>
  <c r="K8" i="13"/>
  <c r="N15" i="13"/>
  <c r="I16" i="13"/>
  <c r="Q12" i="13"/>
  <c r="R12" i="13"/>
  <c r="S12" i="13" s="1"/>
  <c r="Q10" i="13"/>
  <c r="R18" i="13"/>
  <c r="S18" i="13" s="1"/>
  <c r="Q7" i="13"/>
  <c r="Q6" i="13"/>
  <c r="R6" i="13"/>
  <c r="S6" i="13" s="1"/>
  <c r="Q18" i="13"/>
  <c r="L5" i="13"/>
  <c r="G5" i="13"/>
  <c r="T5" i="13"/>
  <c r="R19" i="13"/>
  <c r="S19" i="13" s="1"/>
  <c r="R7" i="13"/>
  <c r="S7" i="13" s="1"/>
  <c r="Q19" i="13"/>
  <c r="I5" i="13"/>
  <c r="R10" i="13"/>
  <c r="S10" i="13" s="1"/>
  <c r="O5" i="13"/>
  <c r="F5" i="13"/>
  <c r="J5" i="13"/>
  <c r="E17" i="13"/>
  <c r="J17" i="13"/>
  <c r="F17" i="13"/>
  <c r="L17" i="13"/>
  <c r="H17" i="13"/>
  <c r="T17" i="13"/>
  <c r="P17" i="13"/>
  <c r="N17" i="13"/>
  <c r="M17" i="13"/>
  <c r="G17" i="13"/>
  <c r="R2" i="13"/>
  <c r="S2" i="13" s="1"/>
  <c r="P5" i="13"/>
  <c r="O16" i="13"/>
  <c r="T16" i="13"/>
  <c r="P16" i="13"/>
  <c r="J16" i="13"/>
  <c r="M16" i="13"/>
  <c r="G16" i="13"/>
  <c r="K16" i="13"/>
  <c r="E16" i="13"/>
  <c r="H16" i="13"/>
  <c r="F16" i="13"/>
  <c r="D16" i="13"/>
  <c r="F3" i="13"/>
  <c r="I17" i="13"/>
  <c r="N5" i="13"/>
  <c r="T3" i="13"/>
  <c r="G3" i="13"/>
  <c r="P3" i="13"/>
  <c r="L3" i="13"/>
  <c r="H3" i="13"/>
  <c r="D3" i="13"/>
  <c r="E3" i="13"/>
  <c r="N3" i="13"/>
  <c r="I11" i="13"/>
  <c r="O11" i="13"/>
  <c r="T11" i="13"/>
  <c r="P11" i="13"/>
  <c r="K11" i="13"/>
  <c r="H14" i="13"/>
  <c r="T14" i="13"/>
  <c r="N14" i="13"/>
  <c r="N16" i="13"/>
  <c r="W2" i="13"/>
  <c r="Q9" i="13" l="1"/>
  <c r="R9" i="13"/>
  <c r="S9" i="13" s="1"/>
  <c r="Q15" i="13"/>
  <c r="Q8" i="13"/>
  <c r="Q4" i="13"/>
  <c r="R8" i="13"/>
  <c r="S8" i="13" s="1"/>
  <c r="R4" i="13"/>
  <c r="S4" i="13" s="1"/>
  <c r="R15" i="13"/>
  <c r="S15" i="13" s="1"/>
  <c r="Q14" i="13"/>
  <c r="R17" i="13"/>
  <c r="S17" i="13" s="1"/>
  <c r="Q11" i="13"/>
  <c r="Q5" i="13"/>
  <c r="R14" i="13"/>
  <c r="S14" i="13" s="1"/>
  <c r="R11" i="13"/>
  <c r="S11" i="13" s="1"/>
  <c r="Q16" i="13"/>
  <c r="R5" i="13"/>
  <c r="S5" i="13" s="1"/>
  <c r="U1" i="13"/>
  <c r="U2" i="13" s="1"/>
  <c r="R3" i="13"/>
  <c r="S3" i="13" s="1"/>
  <c r="Q3" i="13"/>
  <c r="Q17" i="13"/>
  <c r="R16" i="13"/>
  <c r="S16" i="13" s="1"/>
  <c r="U3" i="13" l="1"/>
  <c r="U11" i="13"/>
  <c r="U15" i="13"/>
  <c r="U9" i="13"/>
  <c r="U18" i="13"/>
  <c r="U12" i="13"/>
  <c r="U13" i="13"/>
  <c r="U6" i="13"/>
  <c r="U8" i="13"/>
  <c r="U4" i="13"/>
  <c r="U5" i="13"/>
  <c r="U10" i="13"/>
  <c r="U16" i="13"/>
  <c r="U17" i="13"/>
  <c r="U19" i="13"/>
  <c r="U7" i="13"/>
  <c r="U14" i="13"/>
</calcChain>
</file>

<file path=xl/sharedStrings.xml><?xml version="1.0" encoding="utf-8"?>
<sst xmlns="http://schemas.openxmlformats.org/spreadsheetml/2006/main" count="14272" uniqueCount="360">
  <si>
    <t>TEAM ANALYTICS — KPIs del equipo (automático)</t>
  </si>
  <si>
    <t>Pases OK</t>
  </si>
  <si>
    <t>Evento</t>
  </si>
  <si>
    <t>KPI</t>
  </si>
  <si>
    <t>Valor</t>
  </si>
  <si>
    <t>Pases totales</t>
  </si>
  <si>
    <t>Pase</t>
  </si>
  <si>
    <t>Tiros totales</t>
  </si>
  <si>
    <t>% Acierto pase</t>
  </si>
  <si>
    <t>Pase clave</t>
  </si>
  <si>
    <t>Tiros a puerta</t>
  </si>
  <si>
    <t>Duelos ganados</t>
  </si>
  <si>
    <t>Regate</t>
  </si>
  <si>
    <t>Duelos totales</t>
  </si>
  <si>
    <t>Tiro</t>
  </si>
  <si>
    <t>% Duelos ganados</t>
  </si>
  <si>
    <t>Gol</t>
  </si>
  <si>
    <t>Duelos aéreos gan.</t>
  </si>
  <si>
    <t>Asistencia</t>
  </si>
  <si>
    <t>Balance pérdidas/recuperaciones</t>
  </si>
  <si>
    <t>Duelos aéreos tot.</t>
  </si>
  <si>
    <t>Centro</t>
  </si>
  <si>
    <t>% Duelos aéreos</t>
  </si>
  <si>
    <t>Centro bueno</t>
  </si>
  <si>
    <t>Tipo</t>
  </si>
  <si>
    <t>Duel</t>
  </si>
  <si>
    <t>Pérdidas NF</t>
  </si>
  <si>
    <t>Duel aéreo</t>
  </si>
  <si>
    <t>Recuperaciones altas</t>
  </si>
  <si>
    <t>% Tiros a puerta</t>
  </si>
  <si>
    <t>Intercepción</t>
  </si>
  <si>
    <t>Goles</t>
  </si>
  <si>
    <t>Entrada</t>
  </si>
  <si>
    <t>Asistencias</t>
  </si>
  <si>
    <t>Recuperación alta</t>
  </si>
  <si>
    <t>Centros buenos</t>
  </si>
  <si>
    <t>Pérdida NF</t>
  </si>
  <si>
    <t>Centros totales</t>
  </si>
  <si>
    <t>Falta cometida</t>
  </si>
  <si>
    <t>% Centros buenos</t>
  </si>
  <si>
    <t>Falta recibida</t>
  </si>
  <si>
    <t>Pérdidas no forzadas</t>
  </si>
  <si>
    <t>FICHA DE PARTIDO – C.D. BENAGALBÓN</t>
  </si>
  <si>
    <t>DATOS</t>
  </si>
  <si>
    <t>JUGADORES (18)</t>
  </si>
  <si>
    <t>Dorsal</t>
  </si>
  <si>
    <t>Nombre</t>
  </si>
  <si>
    <t>Posición</t>
  </si>
  <si>
    <t>Minutos</t>
  </si>
  <si>
    <t>Rival</t>
  </si>
  <si>
    <t>PIZARRA</t>
  </si>
  <si>
    <t>Jornada</t>
  </si>
  <si>
    <t>Campo</t>
  </si>
  <si>
    <t>Fecha</t>
  </si>
  <si>
    <t>Horario</t>
  </si>
  <si>
    <t>NICO</t>
  </si>
  <si>
    <t>Árbitro</t>
  </si>
  <si>
    <t>Sistema táctico</t>
  </si>
  <si>
    <t>EVENTOS (registro en directo o postpartido)</t>
  </si>
  <si>
    <t>Min</t>
  </si>
  <si>
    <t>Jugador</t>
  </si>
  <si>
    <t>Resultado</t>
  </si>
  <si>
    <t>Zona</t>
  </si>
  <si>
    <t>Observación</t>
  </si>
  <si>
    <t>Fallado</t>
  </si>
  <si>
    <t>Área propia</t>
  </si>
  <si>
    <t>OK</t>
  </si>
  <si>
    <t>Costado Izquierdo</t>
  </si>
  <si>
    <t>Perdido</t>
  </si>
  <si>
    <t>Delantero</t>
  </si>
  <si>
    <t>Interior Izquierdo</t>
  </si>
  <si>
    <t>Ganado</t>
  </si>
  <si>
    <t>Costado Derecho</t>
  </si>
  <si>
    <t>MC</t>
  </si>
  <si>
    <t>Pivote</t>
  </si>
  <si>
    <t>Último tercio</t>
  </si>
  <si>
    <t>Pérdida F</t>
  </si>
  <si>
    <t>MEDIA PUNTA</t>
  </si>
  <si>
    <t>Frontal</t>
  </si>
  <si>
    <t>Interior derecha</t>
  </si>
  <si>
    <t>AP</t>
  </si>
  <si>
    <t>-</t>
  </si>
  <si>
    <t>Acción clave</t>
  </si>
  <si>
    <t>SISTEMA A – PRO (KPIs y Radar)</t>
  </si>
  <si>
    <t>KPIs del Equipo</t>
  </si>
  <si>
    <t>Jugador seleccionado (para Radar y Ficha)</t>
  </si>
  <si>
    <t>Selecciona:</t>
  </si>
  <si>
    <t>Pases (OK / Total)</t>
  </si>
  <si>
    <t>% Acierto Pase</t>
  </si>
  <si>
    <t>Duelos (ganados / totales)</t>
  </si>
  <si>
    <t>Duelos aéreos (ganados / totales)</t>
  </si>
  <si>
    <t>Tiros / a puerta</t>
  </si>
  <si>
    <t>Centros / buenos</t>
  </si>
  <si>
    <t>Pases/Pases Clave</t>
  </si>
  <si>
    <t>Pase_OK</t>
  </si>
  <si>
    <t>Pase_Tot</t>
  </si>
  <si>
    <t>Duel_G</t>
  </si>
  <si>
    <t>Duel_T</t>
  </si>
  <si>
    <t>Reg_OK</t>
  </si>
  <si>
    <t>Reg_T</t>
  </si>
  <si>
    <t>Tiro_AP</t>
  </si>
  <si>
    <t>Tiro_T</t>
  </si>
  <si>
    <t>Centro_B</t>
  </si>
  <si>
    <t>Centro_T</t>
  </si>
  <si>
    <t>Pase %</t>
  </si>
  <si>
    <t>Duelos %</t>
  </si>
  <si>
    <t>Regates %</t>
  </si>
  <si>
    <t>Tiros a puerta %</t>
  </si>
  <si>
    <t>Centros buenos %</t>
  </si>
  <si>
    <t>SISTEMA B – COACH (valoración táctica)</t>
  </si>
  <si>
    <t>Ataque</t>
  </si>
  <si>
    <t>Indicador</t>
  </si>
  <si>
    <t>Valoración (1-5)</t>
  </si>
  <si>
    <t>Salida de balón</t>
  </si>
  <si>
    <t>Progresión</t>
  </si>
  <si>
    <t>Finalización</t>
  </si>
  <si>
    <t>Comportamientos clave</t>
  </si>
  <si>
    <t>Defensa</t>
  </si>
  <si>
    <t>Bloque</t>
  </si>
  <si>
    <t>Basculación</t>
  </si>
  <si>
    <t>Coberturas</t>
  </si>
  <si>
    <t>Duelos</t>
  </si>
  <si>
    <t>Transiciones</t>
  </si>
  <si>
    <t>Tras pérdida</t>
  </si>
  <si>
    <t>Tras recuperación</t>
  </si>
  <si>
    <t>Contraataque</t>
  </si>
  <si>
    <t>Repliegue</t>
  </si>
  <si>
    <t>ABP_Ofensivas</t>
  </si>
  <si>
    <t>Córners</t>
  </si>
  <si>
    <t>Faltas laterales</t>
  </si>
  <si>
    <t>Faltas directas</t>
  </si>
  <si>
    <t>Saques largos</t>
  </si>
  <si>
    <t>ABP_Defensivas</t>
  </si>
  <si>
    <t>Laterales</t>
  </si>
  <si>
    <t>Panel de medias por fase (1-5)</t>
  </si>
  <si>
    <t>Fase</t>
  </si>
  <si>
    <t>Media</t>
  </si>
  <si>
    <t>ABP Of</t>
  </si>
  <si>
    <t>ABP Def</t>
  </si>
  <si>
    <t>5=Excelente</t>
  </si>
  <si>
    <t>4=Muy bien</t>
  </si>
  <si>
    <t>3=Correcto</t>
  </si>
  <si>
    <t>2=Deficiente</t>
  </si>
  <si>
    <t>1=Incumplido</t>
  </si>
  <si>
    <t>SISTEMA C – LIVE (resumen rápido)</t>
  </si>
  <si>
    <t>Tiros</t>
  </si>
  <si>
    <t>ACCIONES A BALÓN PARADO</t>
  </si>
  <si>
    <t>Córners a favor</t>
  </si>
  <si>
    <t>Ejecutores</t>
  </si>
  <si>
    <t>Rutinas</t>
  </si>
  <si>
    <t>Remates</t>
  </si>
  <si>
    <t>Peligro generado</t>
  </si>
  <si>
    <t>Córners en contra</t>
  </si>
  <si>
    <t>Marcaje</t>
  </si>
  <si>
    <t>Segundas jugadas</t>
  </si>
  <si>
    <t>Bloqueos</t>
  </si>
  <si>
    <t>Despejes</t>
  </si>
  <si>
    <t>Colocación</t>
  </si>
  <si>
    <t>Sincronización</t>
  </si>
  <si>
    <t>Golpeo</t>
  </si>
  <si>
    <t>Distancia</t>
  </si>
  <si>
    <t>Estrategia</t>
  </si>
  <si>
    <t>EXPORTACIÓN A PDF DESDE iPAD (sin macros)</t>
  </si>
  <si>
    <t>1) 'SISTEMA_PRO' F4 → elige jugador para el radar/ficha.</t>
  </si>
  <si>
    <t>2) Revisa KPIs y 'RADAR_JUGADOR'.</t>
  </si>
  <si>
    <t>3) Exporta PDF: SISTEMA_PRO, RADAR_JUGADOR, FICHA_JUGADOR, PANEL_COACH, SISTEMA_LIVE.</t>
  </si>
  <si>
    <t>Archivo preparado con tus datos del partido.</t>
  </si>
  <si>
    <t>Accion</t>
  </si>
  <si>
    <t>DF</t>
  </si>
  <si>
    <t>MF</t>
  </si>
  <si>
    <t>FW</t>
  </si>
  <si>
    <t>GK</t>
  </si>
  <si>
    <t>Tiro a puerta</t>
  </si>
  <si>
    <t>Regate OK</t>
  </si>
  <si>
    <t>Duelo ganado</t>
  </si>
  <si>
    <t>Duel aéreo ganado</t>
  </si>
  <si>
    <t>Goles/90</t>
  </si>
  <si>
    <t>Asist./90</t>
  </si>
  <si>
    <t>Tiros AP/90</t>
  </si>
  <si>
    <t>Pases clave/90</t>
  </si>
  <si>
    <t>Regates OK/90</t>
  </si>
  <si>
    <t>Centros buenos/90</t>
  </si>
  <si>
    <t>Duelos ganados/90</t>
  </si>
  <si>
    <t>Duelos aéreos ganados/90</t>
  </si>
  <si>
    <t>Intercepciones/90</t>
  </si>
  <si>
    <t>Entradas/90</t>
  </si>
  <si>
    <t>Recup. altas/90</t>
  </si>
  <si>
    <t>Pérdidas NF/90</t>
  </si>
  <si>
    <t>Faltas/90</t>
  </si>
  <si>
    <t>Puntos/90 sin ponderar</t>
  </si>
  <si>
    <t>Puntos/90 ponderados</t>
  </si>
  <si>
    <t>Score bruto</t>
  </si>
  <si>
    <t>Ajuste minutos</t>
  </si>
  <si>
    <t>Nota 1-10</t>
  </si>
  <si>
    <t>Comentario</t>
  </si>
  <si>
    <t>MVP</t>
  </si>
  <si>
    <t>Acicones buenas</t>
  </si>
  <si>
    <t>Acciones totales</t>
  </si>
  <si>
    <t>% Acierto general</t>
  </si>
  <si>
    <t>Duelo</t>
  </si>
  <si>
    <t>Duelo aéreo</t>
  </si>
  <si>
    <t>Tercio</t>
  </si>
  <si>
    <t>DEFENSA</t>
  </si>
  <si>
    <t>CONSTRUCCIÓN</t>
  </si>
  <si>
    <t>ATAQUE</t>
  </si>
  <si>
    <t>Cambio de orientacion</t>
  </si>
  <si>
    <t>FECHA</t>
  </si>
  <si>
    <t>RIVAL</t>
  </si>
  <si>
    <t>CAMPO</t>
  </si>
  <si>
    <t>JORNADA</t>
  </si>
  <si>
    <t>SISTEMA</t>
  </si>
  <si>
    <t>MINUTO</t>
  </si>
  <si>
    <t>JUGADOR</t>
  </si>
  <si>
    <t>EVENTO</t>
  </si>
  <si>
    <t>ZONA</t>
  </si>
  <si>
    <t>TERCIO</t>
  </si>
  <si>
    <t>PartidoID</t>
  </si>
  <si>
    <t>REsultadoAccion</t>
  </si>
  <si>
    <t>Observacion</t>
  </si>
  <si>
    <t>(Todas)</t>
  </si>
  <si>
    <t>Etiquetas de fila</t>
  </si>
  <si>
    <t>Total general</t>
  </si>
  <si>
    <t>Etiquetas de columna</t>
  </si>
  <si>
    <t>Cuenta de MINUTO</t>
  </si>
  <si>
    <t>CASABERMEJA</t>
  </si>
  <si>
    <t>CAÑA CHAQUETA</t>
  </si>
  <si>
    <t>Ocasión en contra</t>
  </si>
  <si>
    <t>Fallo en marca</t>
  </si>
  <si>
    <t>Le cogen la espalda y provoca córner</t>
  </si>
  <si>
    <t>Salva gol córner</t>
  </si>
  <si>
    <t>Amarilla</t>
  </si>
  <si>
    <t xml:space="preserve">Conducción </t>
  </si>
  <si>
    <t>Córner</t>
  </si>
  <si>
    <t>Fuera juego</t>
  </si>
  <si>
    <t>Pérdida de marca</t>
  </si>
  <si>
    <t>Salva contra</t>
  </si>
  <si>
    <t>Roja</t>
  </si>
  <si>
    <t xml:space="preserve">Paralelo anticipación </t>
  </si>
  <si>
    <t xml:space="preserve">Salva ocasión </t>
  </si>
  <si>
    <t>2j</t>
  </si>
  <si>
    <t>2 jugada y córner</t>
  </si>
  <si>
    <t>Penal</t>
  </si>
  <si>
    <t>(en blanco)</t>
  </si>
  <si>
    <t>ESTADISTICAS GENERALES</t>
  </si>
  <si>
    <t>DISPAROS A PUERTA</t>
  </si>
  <si>
    <t>DISPAROS</t>
  </si>
  <si>
    <t xml:space="preserve">ACCIONES </t>
  </si>
  <si>
    <t>ACIERTO</t>
  </si>
  <si>
    <t>DUELOS</t>
  </si>
  <si>
    <t>GANADOS</t>
  </si>
  <si>
    <t>ACIERTO DUELOS</t>
  </si>
  <si>
    <t>SEGUNDA JUGADA</t>
  </si>
  <si>
    <t>ALHAURIN</t>
  </si>
  <si>
    <t>MANANTIALES</t>
  </si>
  <si>
    <t>PT</t>
  </si>
  <si>
    <t>LTD</t>
  </si>
  <si>
    <t>PIV</t>
  </si>
  <si>
    <t>DL</t>
  </si>
  <si>
    <t>LTI</t>
  </si>
  <si>
    <t>EXT</t>
  </si>
  <si>
    <t>Transición ata</t>
  </si>
  <si>
    <t>ABP</t>
  </si>
  <si>
    <t>Córner 4</t>
  </si>
  <si>
    <t xml:space="preserve">Transición </t>
  </si>
  <si>
    <t>Transición del</t>
  </si>
  <si>
    <t>Fallo marca</t>
  </si>
  <si>
    <t xml:space="preserve">Derecha </t>
  </si>
  <si>
    <t>Marca</t>
  </si>
  <si>
    <t>Transición atq</t>
  </si>
  <si>
    <t xml:space="preserve">Córner </t>
  </si>
  <si>
    <t>Marca corner</t>
  </si>
  <si>
    <t xml:space="preserve">Anticipación </t>
  </si>
  <si>
    <t xml:space="preserve">Amarilla </t>
  </si>
  <si>
    <t>Fallo presion</t>
  </si>
  <si>
    <t>Gol en contra</t>
  </si>
  <si>
    <t xml:space="preserve">Amarillas </t>
  </si>
  <si>
    <t>3/2</t>
  </si>
  <si>
    <t>JAVIER</t>
  </si>
  <si>
    <t>Acosta</t>
  </si>
  <si>
    <t>Aitor</t>
  </si>
  <si>
    <t>Andrews</t>
  </si>
  <si>
    <t>Antonio Vilches</t>
  </si>
  <si>
    <t>Ayala</t>
  </si>
  <si>
    <t>Francis</t>
  </si>
  <si>
    <t>Hiago</t>
  </si>
  <si>
    <t>Ivan</t>
  </si>
  <si>
    <t>Jaime</t>
  </si>
  <si>
    <t>Jairo</t>
  </si>
  <si>
    <t>Javi</t>
  </si>
  <si>
    <t>Jorge</t>
  </si>
  <si>
    <t>Juanmi</t>
  </si>
  <si>
    <t>Manu</t>
  </si>
  <si>
    <t>Martinez</t>
  </si>
  <si>
    <t>Nacho</t>
  </si>
  <si>
    <t>Nico</t>
  </si>
  <si>
    <t>Victor</t>
  </si>
  <si>
    <t>Yaco</t>
  </si>
  <si>
    <t>EFICACIA DISPARO</t>
  </si>
  <si>
    <t>PASES</t>
  </si>
  <si>
    <t>ACIERTO GENERAL</t>
  </si>
  <si>
    <t>BALANCE PERDIDA GANANCIA</t>
  </si>
  <si>
    <t>TRANSICIONES</t>
  </si>
  <si>
    <t>Columna1</t>
  </si>
  <si>
    <t>CANTORIA 2017</t>
  </si>
  <si>
    <t>Tadeo</t>
  </si>
  <si>
    <t>Antonio</t>
  </si>
  <si>
    <t>Cristian</t>
  </si>
  <si>
    <t>1/1</t>
  </si>
  <si>
    <t>Saque banda</t>
  </si>
  <si>
    <t>2/1</t>
  </si>
  <si>
    <t>Gol en Propia</t>
  </si>
  <si>
    <t>2 jugada</t>
  </si>
  <si>
    <t>3/1</t>
  </si>
  <si>
    <t>1/2</t>
  </si>
  <si>
    <t>2/2</t>
  </si>
  <si>
    <t>INTERIOR</t>
  </si>
  <si>
    <t>Cantoria</t>
  </si>
  <si>
    <t>Alhaurin</t>
  </si>
  <si>
    <t>Villacarrillo</t>
  </si>
  <si>
    <t>Lolo</t>
  </si>
  <si>
    <t>2 jug</t>
  </si>
  <si>
    <t>1/3</t>
  </si>
  <si>
    <t>2/3</t>
  </si>
  <si>
    <t>Caña chaqueta</t>
  </si>
  <si>
    <t>(Varios elementos)</t>
  </si>
  <si>
    <t>Cuevas</t>
  </si>
  <si>
    <t>eror de marca en corner a la frontal</t>
  </si>
  <si>
    <t>corner</t>
  </si>
  <si>
    <t>Polideportivo Almeria</t>
  </si>
  <si>
    <t>DUELO</t>
  </si>
  <si>
    <t>GANADO</t>
  </si>
  <si>
    <t>MEDIO CENTRO</t>
  </si>
  <si>
    <t>PERDIDO</t>
  </si>
  <si>
    <t>ATAQUE CENTRO</t>
  </si>
  <si>
    <t xml:space="preserve">PASE  </t>
  </si>
  <si>
    <t>DEFENSA IZQUIERDA</t>
  </si>
  <si>
    <t>MEDIO IZQUIERDA</t>
  </si>
  <si>
    <t>CAIDA</t>
  </si>
  <si>
    <t>DEFENSA DERECHA</t>
  </si>
  <si>
    <t>FALTA COMETIDA</t>
  </si>
  <si>
    <t>ATAQUE DERECHO</t>
  </si>
  <si>
    <t>PASE A LA ESPALDA</t>
  </si>
  <si>
    <t>DEFENSA CENTRO</t>
  </si>
  <si>
    <t>MEDIO DERECHA</t>
  </si>
  <si>
    <t>FALTA RECIBIDAD</t>
  </si>
  <si>
    <t>PERDIDA NO FORZADA</t>
  </si>
  <si>
    <t>ATAQUE IZQUIERDO</t>
  </si>
  <si>
    <t xml:space="preserve">PERDIDA FORZADA </t>
  </si>
  <si>
    <t>DISPARO</t>
  </si>
  <si>
    <t>ASISTENCIA</t>
  </si>
  <si>
    <t>GOL</t>
  </si>
  <si>
    <t>CAMBIO ORIENTACIÓN</t>
  </si>
  <si>
    <t>Maracena</t>
  </si>
  <si>
    <t>Municipal Maracena</t>
  </si>
  <si>
    <t>12:00h</t>
  </si>
  <si>
    <t>ROBO</t>
  </si>
  <si>
    <t>Aéreo</t>
  </si>
  <si>
    <t>A</t>
  </si>
  <si>
    <t>R</t>
  </si>
  <si>
    <t>RECUPERACIÓN ALTA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</si>
</sst>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10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rgb="FF666666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u/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DDEB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F2CC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36">
    <xf numFmtId="0" fontId="0" fillId="0" borderId="0" xfId="0"/>
    <xf numFmtId="0" fontId="1" fillId="0" borderId="0" xfId="0" applyFont="1"/>
    <xf numFmtId="0" fontId="2" fillId="0" borderId="0" xfId="0" applyFont="1"/>
    <xf numFmtId="0" fontId="3" fillId="2" borderId="1" xfId="0" applyFont="1" applyFill="1" applyBorder="1"/>
    <xf numFmtId="0" fontId="0" fillId="0" borderId="1" xfId="0" applyBorder="1"/>
    <xf numFmtId="0" fontId="3" fillId="3" borderId="1" xfId="0" applyFont="1" applyFill="1" applyBorder="1"/>
    <xf numFmtId="0" fontId="3" fillId="0" borderId="0" xfId="0" applyFont="1"/>
    <xf numFmtId="164" fontId="0" fillId="0" borderId="1" xfId="0" applyNumberFormat="1" applyBorder="1"/>
    <xf numFmtId="0" fontId="3" fillId="4" borderId="1" xfId="0" applyFont="1" applyFill="1" applyBorder="1"/>
    <xf numFmtId="0" fontId="4" fillId="0" borderId="0" xfId="0" applyFont="1"/>
    <xf numFmtId="10" fontId="0" fillId="0" borderId="0" xfId="0" applyNumberFormat="1"/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164" fontId="3" fillId="0" borderId="0" xfId="0" applyNumberFormat="1" applyFont="1"/>
    <xf numFmtId="10" fontId="3" fillId="0" borderId="0" xfId="0" applyNumberFormat="1" applyFont="1"/>
    <xf numFmtId="0" fontId="0" fillId="0" borderId="0" xfId="0" applyAlignment="1">
      <alignment horizontal="center"/>
    </xf>
    <xf numFmtId="10" fontId="0" fillId="0" borderId="0" xfId="1" applyNumberFormat="1" applyFont="1"/>
    <xf numFmtId="0" fontId="0" fillId="0" borderId="0" xfId="0" pivotButton="1"/>
    <xf numFmtId="0" fontId="0" fillId="0" borderId="0" xfId="0" applyAlignment="1">
      <alignment horizontal="left"/>
    </xf>
    <xf numFmtId="14" fontId="0" fillId="0" borderId="1" xfId="0" applyNumberFormat="1" applyBorder="1"/>
    <xf numFmtId="14" fontId="0" fillId="0" borderId="0" xfId="0" applyNumberFormat="1"/>
    <xf numFmtId="16" fontId="0" fillId="0" borderId="0" xfId="0" applyNumberFormat="1"/>
    <xf numFmtId="49" fontId="0" fillId="0" borderId="1" xfId="0" applyNumberFormat="1" applyBorder="1"/>
    <xf numFmtId="49" fontId="0" fillId="0" borderId="0" xfId="0" applyNumberFormat="1"/>
    <xf numFmtId="164" fontId="1" fillId="0" borderId="5" xfId="0" applyNumberFormat="1" applyFont="1" applyBorder="1"/>
    <xf numFmtId="9" fontId="8" fillId="0" borderId="5" xfId="1" applyFont="1" applyBorder="1"/>
    <xf numFmtId="0" fontId="3" fillId="0" borderId="6" xfId="0" applyFont="1" applyBorder="1"/>
    <xf numFmtId="0" fontId="6" fillId="0" borderId="9" xfId="0" applyFont="1" applyBorder="1"/>
    <xf numFmtId="9" fontId="8" fillId="0" borderId="2" xfId="1" applyFont="1" applyBorder="1"/>
    <xf numFmtId="10" fontId="1" fillId="0" borderId="5" xfId="1" applyNumberFormat="1" applyFont="1" applyBorder="1"/>
    <xf numFmtId="0" fontId="3" fillId="0" borderId="0" xfId="0" applyFont="1" applyAlignment="1">
      <alignment horizontal="center"/>
    </xf>
    <xf numFmtId="0" fontId="9" fillId="0" borderId="7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0" fillId="0" borderId="0" xfId="0" applyNumberFormat="1"/>
    <xf numFmtId="0" fontId="0" fillId="0" borderId="0" xfId="0" applyNumberFormat="1" applyAlignment="1">
      <alignment horizontal="center"/>
    </xf>
  </cellXfs>
  <cellStyles count="2">
    <cellStyle name="Normal" xfId="0" builtinId="0"/>
    <cellStyle name="Porcentaje" xfId="1" builtinId="5"/>
  </cellStyles>
  <dxfs count="5">
    <dxf>
      <alignment horizontal="center"/>
    </dxf>
    <dxf>
      <alignment horizontal="center"/>
    </dxf>
    <dxf>
      <alignment horizontal="center"/>
    </dxf>
    <dxf>
      <alignment horizontal="center"/>
    </dxf>
    <dxf>
      <numFmt numFmtId="0" formatCode="General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7/relationships/slicerCache" Target="slicerCaches/slicerCache1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_tradnl"/>
              <a:t>ZONA DEL CAMPO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TEAM_ANALYTICS!$G$10:$G$12</c:f>
              <c:strCache>
                <c:ptCount val="3"/>
                <c:pt idx="0">
                  <c:v>DEFENSA</c:v>
                </c:pt>
                <c:pt idx="1">
                  <c:v>CONSTRUCCIÓN</c:v>
                </c:pt>
                <c:pt idx="2">
                  <c:v>ATAQUE</c:v>
                </c:pt>
              </c:strCache>
            </c:strRef>
          </c:cat>
          <c:val>
            <c:numRef>
              <c:f>TEAM_ANALYTICS!$I$10:$I$12</c:f>
              <c:numCache>
                <c:formatCode>0.00%</c:formatCode>
                <c:ptCount val="3"/>
                <c:pt idx="0">
                  <c:v>0.1890547263681592</c:v>
                </c:pt>
                <c:pt idx="1">
                  <c:v>0.54228855721393032</c:v>
                </c:pt>
                <c:pt idx="2">
                  <c:v>0.26865671641791045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C7-A941-8854-5AE0956BD7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8208832"/>
        <c:axId val="128220032"/>
      </c:barChart>
      <c:catAx>
        <c:axId val="128208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28220032"/>
        <c:crosses val="autoZero"/>
        <c:auto val="1"/>
        <c:lblAlgn val="ctr"/>
        <c:lblOffset val="100"/>
        <c:noMultiLvlLbl val="0"/>
      </c:catAx>
      <c:valAx>
        <c:axId val="128220032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crossAx val="128208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pieChart>
        <c:varyColors val="1"/>
        <c:ser>
          <c:idx val="0"/>
          <c:order val="0"/>
          <c:spPr>
            <a:solidFill>
              <a:srgbClr val="00B050"/>
            </a:solidFill>
          </c:spPr>
          <c:dPt>
            <c:idx val="0"/>
            <c:bubble3D val="0"/>
            <c:spPr>
              <a:solidFill>
                <a:schemeClr val="bg1"/>
              </a:solid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1-5153-A14E-B572-ED35EF4E88ED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2-5153-A14E-B572-ED35EF4E88E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'DASHBOARD GENERAL'!$A$10:$A$11</c:f>
              <c:strCache>
                <c:ptCount val="2"/>
                <c:pt idx="0">
                  <c:v>DUELOS</c:v>
                </c:pt>
                <c:pt idx="1">
                  <c:v>GANADOS</c:v>
                </c:pt>
              </c:strCache>
            </c:strRef>
          </c:cat>
          <c:val>
            <c:numRef>
              <c:f>'DASHBOARD GENERAL'!$B$10:$B$11</c:f>
              <c:numCache>
                <c:formatCode>General</c:formatCode>
                <c:ptCount val="2"/>
                <c:pt idx="0">
                  <c:v>204</c:v>
                </c:pt>
                <c:pt idx="1">
                  <c:v>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53-A14E-B572-ED35EF4E88E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_tradnl"/>
              <a:t>ACCIONES</a:t>
            </a:r>
            <a:r>
              <a:rPr lang="es-ES_tradnl" baseline="0"/>
              <a:t> DE PARTIDO</a:t>
            </a:r>
            <a:endParaRPr lang="es-ES_tradn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_tradnl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bg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2E7-3045-9959-4327A60FE03B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2E7-3045-9959-4327A60FE03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TEAM_ANALYTICS!$G$3:$G$4</c:f>
              <c:strCache>
                <c:ptCount val="2"/>
                <c:pt idx="0">
                  <c:v>Acicones buenas</c:v>
                </c:pt>
                <c:pt idx="1">
                  <c:v>Acciones totales</c:v>
                </c:pt>
              </c:strCache>
            </c:strRef>
          </c:cat>
          <c:val>
            <c:numRef>
              <c:f>TEAM_ANALYTICS!$H$3:$H$4</c:f>
              <c:numCache>
                <c:formatCode>General</c:formatCode>
                <c:ptCount val="2"/>
                <c:pt idx="0">
                  <c:v>310</c:v>
                </c:pt>
                <c:pt idx="1">
                  <c:v>426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2E7-3045-9959-4327A60FE03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ES"/>
              <a:t>Tiros y Duelos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TEAM_ANALYTICS!$E$2</c:f>
              <c:strCache>
                <c:ptCount val="1"/>
                <c:pt idx="0">
                  <c:v>Valor</c:v>
                </c:pt>
              </c:strCache>
            </c:strRef>
          </c:tx>
          <c:spPr>
            <a:ln>
              <a:prstDash val="solid"/>
            </a:ln>
          </c:spPr>
          <c:invertIfNegative val="0"/>
          <c:cat>
            <c:strRef>
              <c:f>TEAM_ANALYTICS!$D$3:$D$6</c:f>
              <c:strCache>
                <c:ptCount val="4"/>
                <c:pt idx="0">
                  <c:v>Tiros totales</c:v>
                </c:pt>
                <c:pt idx="1">
                  <c:v>Tiros a puerta</c:v>
                </c:pt>
                <c:pt idx="2">
                  <c:v>Duelos totales</c:v>
                </c:pt>
                <c:pt idx="3">
                  <c:v>Duelos ganados</c:v>
                </c:pt>
              </c:strCache>
            </c:strRef>
          </c:cat>
          <c:val>
            <c:numRef>
              <c:f>TEAM_ANALYTICS!$E$3:$E$6</c:f>
              <c:numCache>
                <c:formatCode>General</c:formatCode>
                <c:ptCount val="4"/>
                <c:pt idx="0">
                  <c:v>20</c:v>
                </c:pt>
                <c:pt idx="1">
                  <c:v>18</c:v>
                </c:pt>
                <c:pt idx="2">
                  <c:v>204</c:v>
                </c:pt>
                <c:pt idx="3">
                  <c:v>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92-F84B-A1BB-B0BFB277F3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Cantidad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ES"/>
              <a:t>Pérdidas vs Recuperaciones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spPr>
            <a:ln>
              <a:prstDash val="solid"/>
            </a:ln>
          </c:spPr>
          <c:cat>
            <c:strRef>
              <c:f>TEAM_ANALYTICS!$D$11:$D$12</c:f>
              <c:strCache>
                <c:ptCount val="2"/>
                <c:pt idx="0">
                  <c:v>Pérdidas NF</c:v>
                </c:pt>
                <c:pt idx="1">
                  <c:v>Recuperaciones altas</c:v>
                </c:pt>
              </c:strCache>
            </c:strRef>
          </c:cat>
          <c:val>
            <c:numRef>
              <c:f>TEAM_ANALYTICS!$E$11:$E$12</c:f>
              <c:numCache>
                <c:formatCode>General</c:formatCode>
                <c:ptCount val="2"/>
                <c:pt idx="0">
                  <c:v>12</c:v>
                </c:pt>
                <c:pt idx="1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11-8242-B3ED-068296DE72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s-ES_tradnl"/>
              <a:t>DUELOS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s-ES"/>
        </a:p>
      </c:txPr>
    </c:title>
    <c:autoTitleDeleted val="0"/>
    <c:plotArea>
      <c:layout/>
      <c:pieChart>
        <c:varyColors val="1"/>
        <c:ser>
          <c:idx val="0"/>
          <c:order val="0"/>
          <c:spPr>
            <a:solidFill>
              <a:srgbClr val="00B050"/>
            </a:solidFill>
            <a:ln>
              <a:solidFill>
                <a:schemeClr val="tx1"/>
              </a:solidFill>
            </a:ln>
          </c:spPr>
          <c:dPt>
            <c:idx val="0"/>
            <c:bubble3D val="0"/>
            <c:spPr>
              <a:solidFill>
                <a:srgbClr val="00B050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663-444B-85F3-E749EBC84D0B}"/>
              </c:ext>
            </c:extLst>
          </c:dPt>
          <c:dPt>
            <c:idx val="1"/>
            <c:bubble3D val="0"/>
            <c:spPr>
              <a:solidFill>
                <a:schemeClr val="bg1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1B2-E340-9DD5-D42B4685B91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TEAM_ANALYTICS!$D$5:$D$6</c:f>
              <c:strCache>
                <c:ptCount val="2"/>
                <c:pt idx="0">
                  <c:v>Duelos totales</c:v>
                </c:pt>
                <c:pt idx="1">
                  <c:v>Duelos ganados</c:v>
                </c:pt>
              </c:strCache>
            </c:strRef>
          </c:cat>
          <c:val>
            <c:numRef>
              <c:f>TEAM_ANALYTICS!$E$5:$E$6</c:f>
              <c:numCache>
                <c:formatCode>General</c:formatCode>
                <c:ptCount val="2"/>
                <c:pt idx="0">
                  <c:v>204</c:v>
                </c:pt>
                <c:pt idx="1">
                  <c:v>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B2-E340-9DD5-D42B4685B91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alpha val="5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pattFill prst="dkDnDiag">
      <a:fgClr>
        <a:schemeClr val="lt1"/>
      </a:fgClr>
      <a:bgClr>
        <a:schemeClr val="dk1">
          <a:lumMod val="10000"/>
          <a:lumOff val="90000"/>
        </a:schemeClr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s-ES_tradnl"/>
              <a:t>PASES COMPLETADOS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s-ES"/>
        </a:p>
      </c:txPr>
    </c:title>
    <c:autoTitleDeleted val="0"/>
    <c:plotArea>
      <c:layout/>
      <c:pieChart>
        <c:varyColors val="1"/>
        <c:ser>
          <c:idx val="0"/>
          <c:order val="0"/>
          <c:spPr>
            <a:solidFill>
              <a:srgbClr val="00B050"/>
            </a:solidFill>
          </c:spPr>
          <c:dPt>
            <c:idx val="0"/>
            <c:bubble3D val="0"/>
            <c:spPr>
              <a:solidFill>
                <a:schemeClr val="bg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55F-C948-BE80-00FDE90DCC48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D55F-C948-BE80-00FDE90DCC48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22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D55F-C948-BE80-00FDE90DCC4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14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D55F-C948-BE80-00FDE90DCC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TEAM_ANALYTICS!$A$3:$A$4</c:f>
              <c:strCache>
                <c:ptCount val="2"/>
                <c:pt idx="0">
                  <c:v>Pases OK</c:v>
                </c:pt>
                <c:pt idx="1">
                  <c:v>Pases totales</c:v>
                </c:pt>
              </c:strCache>
            </c:strRef>
          </c:cat>
          <c:val>
            <c:numRef>
              <c:f>TEAM_ANALYTICS!$B$4:$B$4</c:f>
              <c:numCache>
                <c:formatCode>General</c:formatCode>
                <c:ptCount val="1"/>
                <c:pt idx="0">
                  <c:v>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5F-C948-BE80-00FDE90DCC48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alpha val="5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pattFill prst="dkDnDiag">
      <a:fgClr>
        <a:schemeClr val="lt1"/>
      </a:fgClr>
      <a:bgClr>
        <a:schemeClr val="dk1">
          <a:lumMod val="10000"/>
          <a:lumOff val="90000"/>
        </a:schemeClr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_tradnl"/>
              <a:t>ZONA DEL CAMPO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TEAM_ANALYTICS!$G$10:$G$12</c:f>
              <c:strCache>
                <c:ptCount val="3"/>
                <c:pt idx="0">
                  <c:v>DEFENSA</c:v>
                </c:pt>
                <c:pt idx="1">
                  <c:v>CONSTRUCCIÓN</c:v>
                </c:pt>
                <c:pt idx="2">
                  <c:v>ATAQUE</c:v>
                </c:pt>
              </c:strCache>
            </c:strRef>
          </c:cat>
          <c:val>
            <c:numRef>
              <c:f>TEAM_ANALYTICS!$I$10:$I$12</c:f>
              <c:numCache>
                <c:formatCode>0.00%</c:formatCode>
                <c:ptCount val="3"/>
                <c:pt idx="0">
                  <c:v>0.1890547263681592</c:v>
                </c:pt>
                <c:pt idx="1">
                  <c:v>0.54228855721393032</c:v>
                </c:pt>
                <c:pt idx="2">
                  <c:v>0.26865671641791045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2E-8643-94F9-2F41A67C81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8208832"/>
        <c:axId val="128220032"/>
      </c:barChart>
      <c:catAx>
        <c:axId val="128208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28220032"/>
        <c:crosses val="autoZero"/>
        <c:auto val="1"/>
        <c:lblAlgn val="ctr"/>
        <c:lblOffset val="100"/>
        <c:noMultiLvlLbl val="0"/>
      </c:catAx>
      <c:valAx>
        <c:axId val="128220032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crossAx val="128208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_tradnl"/>
              <a:t>ACCIONES</a:t>
            </a:r>
            <a:r>
              <a:rPr lang="es-ES_tradnl" baseline="0"/>
              <a:t> DE PARTIDO</a:t>
            </a:r>
            <a:endParaRPr lang="es-ES_tradn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_tradnl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bg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29CA-2A42-9277-AF59D010ABBE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9CA-2A42-9277-AF59D010ABB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TEAM_ANALYTICS!$G$3:$G$4</c:f>
              <c:strCache>
                <c:ptCount val="2"/>
                <c:pt idx="0">
                  <c:v>Acicones buenas</c:v>
                </c:pt>
                <c:pt idx="1">
                  <c:v>Acciones totales</c:v>
                </c:pt>
              </c:strCache>
            </c:strRef>
          </c:cat>
          <c:val>
            <c:numRef>
              <c:f>TEAM_ANALYTICS!$H$3:$H$4</c:f>
              <c:numCache>
                <c:formatCode>General</c:formatCode>
                <c:ptCount val="2"/>
                <c:pt idx="0">
                  <c:v>310</c:v>
                </c:pt>
                <c:pt idx="1">
                  <c:v>426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CA-2A42-9277-AF59D010ABB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Rendimiento relativo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RADAR_JUGADOR!$A$2</c:f>
              <c:strCache>
                <c:ptCount val="1"/>
                <c:pt idx="0">
                  <c:v>NICO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cat>
            <c:strRef>
              <c:f>RADAR_JUGADOR!$B$1:$F$1</c:f>
              <c:strCache>
                <c:ptCount val="5"/>
                <c:pt idx="0">
                  <c:v>Pase %</c:v>
                </c:pt>
                <c:pt idx="1">
                  <c:v>Duelos %</c:v>
                </c:pt>
                <c:pt idx="2">
                  <c:v>Regates %</c:v>
                </c:pt>
                <c:pt idx="3">
                  <c:v>Tiros a puerta %</c:v>
                </c:pt>
                <c:pt idx="4">
                  <c:v>Centros buenos %</c:v>
                </c:pt>
              </c:strCache>
            </c:strRef>
          </c:cat>
          <c:val>
            <c:numRef>
              <c:f>RADAR_JUGADOR!$B$2:$F$2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9D-7D4B-B384-584F21EFD7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10001"/>
        <c:axId val="50010002"/>
      </c:radarChart>
      <c:catAx>
        <c:axId val="5001000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tint val="75000"/>
                  <a:shade val="95000"/>
                  <a:satMod val="10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tint val="75000"/>
                <a:shade val="95000"/>
                <a:satMod val="10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1000" b="0" i="0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010002"/>
        <c:crosses val="autoZero"/>
        <c:auto val="1"/>
        <c:lblAlgn val="ctr"/>
        <c:lblOffset val="100"/>
        <c:noMultiLvlLbl val="0"/>
      </c:catAx>
      <c:valAx>
        <c:axId val="50010002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tint val="75000"/>
                  <a:shade val="95000"/>
                  <a:satMod val="10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tint val="75000"/>
                <a:shade val="95000"/>
                <a:satMod val="10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1000" b="0" i="0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010001"/>
        <c:crosses val="autoZero"/>
        <c:crossBetween val="between"/>
        <c:majorUnit val="0.2"/>
      </c:valAx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000" b="0" i="0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[BDT PARTIDOS BENABALBON.xlsm]CALCULOS!TablaDinámica5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Acciones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rgbClr val="00B050"/>
          </a:soli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CALCULOS!$U$49:$U$50</c:f>
              <c:strCache>
                <c:ptCount val="1"/>
                <c:pt idx="0">
                  <c:v>Pérdida F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CALCULOS!$T$51:$T$57</c:f>
              <c:strCache>
                <c:ptCount val="6"/>
                <c:pt idx="0">
                  <c:v>ALHAURIN</c:v>
                </c:pt>
                <c:pt idx="1">
                  <c:v>CANTORIA 2017</c:v>
                </c:pt>
                <c:pt idx="2">
                  <c:v>CASABERMEJA</c:v>
                </c:pt>
                <c:pt idx="3">
                  <c:v>PIZARRA</c:v>
                </c:pt>
                <c:pt idx="4">
                  <c:v>Villacarrillo</c:v>
                </c:pt>
                <c:pt idx="5">
                  <c:v>Cuevas</c:v>
                </c:pt>
              </c:strCache>
            </c:strRef>
          </c:cat>
          <c:val>
            <c:numRef>
              <c:f>CALCULOS!$U$51:$U$57</c:f>
              <c:numCache>
                <c:formatCode>General</c:formatCode>
                <c:ptCount val="6"/>
                <c:pt idx="0">
                  <c:v>11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5</c:v>
                </c:pt>
                <c:pt idx="5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22-C74A-B215-1231BCF3C212}"/>
            </c:ext>
          </c:extLst>
        </c:ser>
        <c:ser>
          <c:idx val="1"/>
          <c:order val="1"/>
          <c:tx>
            <c:strRef>
              <c:f>CALCULOS!$V$49:$V$50</c:f>
              <c:strCache>
                <c:ptCount val="1"/>
                <c:pt idx="0">
                  <c:v>Pérdida NF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CALCULOS!$T$51:$T$57</c:f>
              <c:strCache>
                <c:ptCount val="6"/>
                <c:pt idx="0">
                  <c:v>ALHAURIN</c:v>
                </c:pt>
                <c:pt idx="1">
                  <c:v>CANTORIA 2017</c:v>
                </c:pt>
                <c:pt idx="2">
                  <c:v>CASABERMEJA</c:v>
                </c:pt>
                <c:pt idx="3">
                  <c:v>PIZARRA</c:v>
                </c:pt>
                <c:pt idx="4">
                  <c:v>Villacarrillo</c:v>
                </c:pt>
                <c:pt idx="5">
                  <c:v>Cuevas</c:v>
                </c:pt>
              </c:strCache>
            </c:strRef>
          </c:cat>
          <c:val>
            <c:numRef>
              <c:f>CALCULOS!$V$51:$V$57</c:f>
              <c:numCache>
                <c:formatCode>General</c:formatCode>
                <c:ptCount val="6"/>
                <c:pt idx="0">
                  <c:v>3</c:v>
                </c:pt>
                <c:pt idx="1">
                  <c:v>13</c:v>
                </c:pt>
                <c:pt idx="2">
                  <c:v>9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2EE2-1041-9DEC-F959DAEAEA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2043587520"/>
        <c:axId val="2142407744"/>
      </c:barChart>
      <c:catAx>
        <c:axId val="2043587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142407744"/>
        <c:crosses val="autoZero"/>
        <c:auto val="1"/>
        <c:lblAlgn val="ctr"/>
        <c:lblOffset val="100"/>
        <c:noMultiLvlLbl val="0"/>
      </c:catAx>
      <c:valAx>
        <c:axId val="2142407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043587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[BDT PARTIDOS BENABALBON.xlsm]CALCULOS!TablaDinámica8</c:name>
    <c:fmtId val="0"/>
  </c:pivotSource>
  <c:chart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CALCULOS!$U$63:$U$64</c:f>
              <c:strCache>
                <c:ptCount val="1"/>
                <c:pt idx="0">
                  <c:v>Fallado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CALCULOS!$T$65:$T$71</c:f>
              <c:strCache>
                <c:ptCount val="6"/>
                <c:pt idx="0">
                  <c:v>ALHAURIN</c:v>
                </c:pt>
                <c:pt idx="1">
                  <c:v>CANTORIA 2017</c:v>
                </c:pt>
                <c:pt idx="2">
                  <c:v>CASABERMEJA</c:v>
                </c:pt>
                <c:pt idx="3">
                  <c:v>PIZARRA</c:v>
                </c:pt>
                <c:pt idx="4">
                  <c:v>Villacarrillo</c:v>
                </c:pt>
                <c:pt idx="5">
                  <c:v>Cuevas</c:v>
                </c:pt>
              </c:strCache>
            </c:strRef>
          </c:cat>
          <c:val>
            <c:numRef>
              <c:f>CALCULOS!$U$65:$U$71</c:f>
              <c:numCache>
                <c:formatCode>General</c:formatCode>
                <c:ptCount val="6"/>
                <c:pt idx="0">
                  <c:v>27</c:v>
                </c:pt>
                <c:pt idx="1">
                  <c:v>30</c:v>
                </c:pt>
                <c:pt idx="2">
                  <c:v>19</c:v>
                </c:pt>
                <c:pt idx="3">
                  <c:v>16</c:v>
                </c:pt>
                <c:pt idx="4">
                  <c:v>26</c:v>
                </c:pt>
                <c:pt idx="5">
                  <c:v>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5F-124F-B39A-D4B5CB1EC405}"/>
            </c:ext>
          </c:extLst>
        </c:ser>
        <c:ser>
          <c:idx val="1"/>
          <c:order val="1"/>
          <c:tx>
            <c:strRef>
              <c:f>CALCULOS!$V$63:$V$64</c:f>
              <c:strCache>
                <c:ptCount val="1"/>
                <c:pt idx="0">
                  <c:v>Ganado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CALCULOS!$T$65:$T$71</c:f>
              <c:strCache>
                <c:ptCount val="6"/>
                <c:pt idx="0">
                  <c:v>ALHAURIN</c:v>
                </c:pt>
                <c:pt idx="1">
                  <c:v>CANTORIA 2017</c:v>
                </c:pt>
                <c:pt idx="2">
                  <c:v>CASABERMEJA</c:v>
                </c:pt>
                <c:pt idx="3">
                  <c:v>PIZARRA</c:v>
                </c:pt>
                <c:pt idx="4">
                  <c:v>Villacarrillo</c:v>
                </c:pt>
                <c:pt idx="5">
                  <c:v>Cuevas</c:v>
                </c:pt>
              </c:strCache>
            </c:strRef>
          </c:cat>
          <c:val>
            <c:numRef>
              <c:f>CALCULOS!$V$65:$V$71</c:f>
              <c:numCache>
                <c:formatCode>General</c:formatCode>
                <c:ptCount val="6"/>
                <c:pt idx="0">
                  <c:v>29</c:v>
                </c:pt>
                <c:pt idx="1">
                  <c:v>96</c:v>
                </c:pt>
                <c:pt idx="2">
                  <c:v>36</c:v>
                </c:pt>
                <c:pt idx="3">
                  <c:v>59</c:v>
                </c:pt>
                <c:pt idx="4">
                  <c:v>76</c:v>
                </c:pt>
                <c:pt idx="5">
                  <c:v>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C5F-124F-B39A-D4B5CB1EC405}"/>
            </c:ext>
          </c:extLst>
        </c:ser>
        <c:ser>
          <c:idx val="2"/>
          <c:order val="2"/>
          <c:tx>
            <c:strRef>
              <c:f>CALCULOS!$W$63:$W$64</c:f>
              <c:strCache>
                <c:ptCount val="1"/>
                <c:pt idx="0">
                  <c:v>OK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CALCULOS!$T$65:$T$71</c:f>
              <c:strCache>
                <c:ptCount val="6"/>
                <c:pt idx="0">
                  <c:v>ALHAURIN</c:v>
                </c:pt>
                <c:pt idx="1">
                  <c:v>CANTORIA 2017</c:v>
                </c:pt>
                <c:pt idx="2">
                  <c:v>CASABERMEJA</c:v>
                </c:pt>
                <c:pt idx="3">
                  <c:v>PIZARRA</c:v>
                </c:pt>
                <c:pt idx="4">
                  <c:v>Villacarrillo</c:v>
                </c:pt>
                <c:pt idx="5">
                  <c:v>Cuevas</c:v>
                </c:pt>
              </c:strCache>
            </c:strRef>
          </c:cat>
          <c:val>
            <c:numRef>
              <c:f>CALCULOS!$W$65:$W$71</c:f>
              <c:numCache>
                <c:formatCode>General</c:formatCode>
                <c:ptCount val="6"/>
                <c:pt idx="0">
                  <c:v>64</c:v>
                </c:pt>
                <c:pt idx="1">
                  <c:v>54</c:v>
                </c:pt>
                <c:pt idx="2">
                  <c:v>40</c:v>
                </c:pt>
                <c:pt idx="3">
                  <c:v>29</c:v>
                </c:pt>
                <c:pt idx="4">
                  <c:v>63</c:v>
                </c:pt>
                <c:pt idx="5">
                  <c:v>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C5F-124F-B39A-D4B5CB1EC405}"/>
            </c:ext>
          </c:extLst>
        </c:ser>
        <c:ser>
          <c:idx val="3"/>
          <c:order val="3"/>
          <c:tx>
            <c:strRef>
              <c:f>CALCULOS!$X$63:$X$64</c:f>
              <c:strCache>
                <c:ptCount val="1"/>
                <c:pt idx="0">
                  <c:v>Perdido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CALCULOS!$T$65:$T$71</c:f>
              <c:strCache>
                <c:ptCount val="6"/>
                <c:pt idx="0">
                  <c:v>ALHAURIN</c:v>
                </c:pt>
                <c:pt idx="1">
                  <c:v>CANTORIA 2017</c:v>
                </c:pt>
                <c:pt idx="2">
                  <c:v>CASABERMEJA</c:v>
                </c:pt>
                <c:pt idx="3">
                  <c:v>PIZARRA</c:v>
                </c:pt>
                <c:pt idx="4">
                  <c:v>Villacarrillo</c:v>
                </c:pt>
                <c:pt idx="5">
                  <c:v>Cuevas</c:v>
                </c:pt>
              </c:strCache>
            </c:strRef>
          </c:cat>
          <c:val>
            <c:numRef>
              <c:f>CALCULOS!$X$65:$X$71</c:f>
              <c:numCache>
                <c:formatCode>General</c:formatCode>
                <c:ptCount val="6"/>
                <c:pt idx="0">
                  <c:v>18</c:v>
                </c:pt>
                <c:pt idx="1">
                  <c:v>20</c:v>
                </c:pt>
                <c:pt idx="2">
                  <c:v>12</c:v>
                </c:pt>
                <c:pt idx="3">
                  <c:v>19</c:v>
                </c:pt>
                <c:pt idx="4">
                  <c:v>33</c:v>
                </c:pt>
                <c:pt idx="5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C5F-124F-B39A-D4B5CB1EC4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84929280"/>
        <c:axId val="2009550784"/>
      </c:barChart>
      <c:catAx>
        <c:axId val="1784929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009550784"/>
        <c:crosses val="autoZero"/>
        <c:auto val="1"/>
        <c:lblAlgn val="ctr"/>
        <c:lblOffset val="100"/>
        <c:noMultiLvlLbl val="0"/>
      </c:catAx>
      <c:valAx>
        <c:axId val="2009550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84929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s-ES"/>
              <a:t>Valoración del partido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Índice táctico</c:v>
          </c:tx>
          <c:spPr>
            <a:solidFill>
              <a:srgbClr val="00B050"/>
            </a:solidFill>
            <a:ln>
              <a:noFill/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PANEL_COACH!$A$4:$A$8</c:f>
              <c:strCache>
                <c:ptCount val="5"/>
                <c:pt idx="0">
                  <c:v>Ataque</c:v>
                </c:pt>
                <c:pt idx="1">
                  <c:v>Defensa</c:v>
                </c:pt>
                <c:pt idx="2">
                  <c:v>Transiciones</c:v>
                </c:pt>
                <c:pt idx="3">
                  <c:v>ABP Of</c:v>
                </c:pt>
                <c:pt idx="4">
                  <c:v>ABP Def</c:v>
                </c:pt>
              </c:strCache>
            </c:strRef>
          </c:cat>
          <c:val>
            <c:numRef>
              <c:f>PANEL_COACH!$B$4:$B$8</c:f>
              <c:numCache>
                <c:formatCode>General</c:formatCode>
                <c:ptCount val="5"/>
                <c:pt idx="0">
                  <c:v>3</c:v>
                </c:pt>
                <c:pt idx="1">
                  <c:v>4</c:v>
                </c:pt>
                <c:pt idx="2">
                  <c:v>4</c:v>
                </c:pt>
                <c:pt idx="3">
                  <c:v>3</c:v>
                </c:pt>
                <c:pt idx="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0B-8241-9D53-E018B182F12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0020001"/>
        <c:axId val="50020002"/>
      </c:barChart>
      <c:catAx>
        <c:axId val="50020001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tint val="75000"/>
                <a:shade val="95000"/>
                <a:satMod val="10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1000" b="0" i="0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020002"/>
        <c:crosses val="autoZero"/>
        <c:auto val="1"/>
        <c:lblAlgn val="ctr"/>
        <c:lblOffset val="100"/>
        <c:noMultiLvlLbl val="0"/>
      </c:catAx>
      <c:valAx>
        <c:axId val="50020002"/>
        <c:scaling>
          <c:orientation val="minMax"/>
          <c:max val="5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50020001"/>
        <c:crosses val="autoZero"/>
        <c:crossBetween val="between"/>
      </c:valAx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000" b="0" i="0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s-ES"/>
              <a:t>None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v>Finalización</c:v>
          </c:tx>
          <c:spPr>
            <a:ln>
              <a:prstDash val="solid"/>
            </a:ln>
          </c:spPr>
          <c:cat>
            <c:strRef>
              <c:f>SISTEMA_LIVE!$A$4:$A$6</c:f>
              <c:strCache>
                <c:ptCount val="3"/>
                <c:pt idx="0">
                  <c:v>Tiros</c:v>
                </c:pt>
                <c:pt idx="1">
                  <c:v>Tiros a puerta</c:v>
                </c:pt>
                <c:pt idx="2">
                  <c:v>Duelos</c:v>
                </c:pt>
              </c:strCache>
            </c:strRef>
          </c:cat>
          <c:val>
            <c:numRef>
              <c:f>SISTEMA_LIVE!$B$4:$B$6</c:f>
              <c:numCache>
                <c:formatCode>General</c:formatCode>
                <c:ptCount val="3"/>
                <c:pt idx="0">
                  <c:v>20</c:v>
                </c:pt>
                <c:pt idx="1">
                  <c:v>18</c:v>
                </c:pt>
                <c:pt idx="2">
                  <c:v>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41-FE44-9744-190969E71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/>
        </a:fgClr>
        <a:bgClr>
          <a:schemeClr val="dk1">
            <a:lumMod val="10000"/>
            <a:lumOff val="90000"/>
          </a:schemeClr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508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50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/>
        </a:fgClr>
        <a:bgClr>
          <a:schemeClr val="dk1">
            <a:lumMod val="10000"/>
            <a:lumOff val="90000"/>
          </a:schemeClr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508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50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88900</xdr:colOff>
          <xdr:row>1</xdr:row>
          <xdr:rowOff>165100</xdr:rowOff>
        </xdr:from>
        <xdr:to>
          <xdr:col>11</xdr:col>
          <xdr:colOff>266700</xdr:colOff>
          <xdr:row>3</xdr:row>
          <xdr:rowOff>152400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</xdr:row>
      <xdr:rowOff>0</xdr:rowOff>
    </xdr:from>
    <xdr:to>
      <xdr:col>7</xdr:col>
      <xdr:colOff>177800</xdr:colOff>
      <xdr:row>22</xdr:row>
      <xdr:rowOff>101600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JUGADOR">
              <a:extLst>
                <a:ext uri="{FF2B5EF4-FFF2-40B4-BE49-F238E27FC236}">
                  <a16:creationId xmlns:a16="http://schemas.microsoft.com/office/drawing/2014/main" id="{BE7E96DF-A930-6F4C-BF4B-F4F5D930088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JUGAD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940300" y="190500"/>
              <a:ext cx="1828800" cy="4495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0</xdr:colOff>
      <xdr:row>1</xdr:row>
      <xdr:rowOff>0</xdr:rowOff>
    </xdr:from>
    <xdr:to>
      <xdr:col>10</xdr:col>
      <xdr:colOff>177800</xdr:colOff>
      <xdr:row>12</xdr:row>
      <xdr:rowOff>142869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RIVAL">
              <a:extLst>
                <a:ext uri="{FF2B5EF4-FFF2-40B4-BE49-F238E27FC236}">
                  <a16:creationId xmlns:a16="http://schemas.microsoft.com/office/drawing/2014/main" id="{B876B812-8111-8A40-AD5C-1086B1FC1C2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IVAL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16800" y="190500"/>
              <a:ext cx="1828800" cy="242886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0</xdr:colOff>
      <xdr:row>47</xdr:row>
      <xdr:rowOff>88900</xdr:rowOff>
    </xdr:from>
    <xdr:to>
      <xdr:col>4</xdr:col>
      <xdr:colOff>457200</xdr:colOff>
      <xdr:row>61</xdr:row>
      <xdr:rowOff>114300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1EA2947-28B8-0240-A016-F45D6621A3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812800</xdr:colOff>
      <xdr:row>40</xdr:row>
      <xdr:rowOff>38100</xdr:rowOff>
    </xdr:from>
    <xdr:to>
      <xdr:col>10</xdr:col>
      <xdr:colOff>431800</xdr:colOff>
      <xdr:row>54</xdr:row>
      <xdr:rowOff>114300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6E3C3B92-38E7-47D6-1B2C-807EE39DEC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38100</xdr:colOff>
      <xdr:row>30</xdr:row>
      <xdr:rowOff>114300</xdr:rowOff>
    </xdr:from>
    <xdr:to>
      <xdr:col>4</xdr:col>
      <xdr:colOff>0</xdr:colOff>
      <xdr:row>46</xdr:row>
      <xdr:rowOff>114300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C257892-14C9-054D-A883-C4C7438715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723900</xdr:colOff>
      <xdr:row>25</xdr:row>
      <xdr:rowOff>0</xdr:rowOff>
    </xdr:from>
    <xdr:ext cx="5400000" cy="270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0</xdr:colOff>
      <xdr:row>24</xdr:row>
      <xdr:rowOff>177800</xdr:rowOff>
    </xdr:from>
    <xdr:ext cx="5400000" cy="2700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twoCellAnchor>
    <xdr:from>
      <xdr:col>0</xdr:col>
      <xdr:colOff>304800</xdr:colOff>
      <xdr:row>40</xdr:row>
      <xdr:rowOff>158750</xdr:rowOff>
    </xdr:from>
    <xdr:to>
      <xdr:col>2</xdr:col>
      <xdr:colOff>1524000</xdr:colOff>
      <xdr:row>55</xdr:row>
      <xdr:rowOff>44450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5A8D949-356E-2AEF-D391-BEAF753BA5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44450</xdr:colOff>
      <xdr:row>40</xdr:row>
      <xdr:rowOff>158750</xdr:rowOff>
    </xdr:from>
    <xdr:to>
      <xdr:col>5</xdr:col>
      <xdr:colOff>1263650</xdr:colOff>
      <xdr:row>55</xdr:row>
      <xdr:rowOff>44450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6A68F81-F6A6-D1B4-4947-C39C94E83E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603250</xdr:colOff>
      <xdr:row>24</xdr:row>
      <xdr:rowOff>82550</xdr:rowOff>
    </xdr:from>
    <xdr:to>
      <xdr:col>12</xdr:col>
      <xdr:colOff>400050</xdr:colOff>
      <xdr:row>38</xdr:row>
      <xdr:rowOff>158750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A6550AC0-AC92-E84C-550A-2122AD878E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0</xdr:colOff>
      <xdr:row>1</xdr:row>
      <xdr:rowOff>177800</xdr:rowOff>
    </xdr:from>
    <xdr:to>
      <xdr:col>13</xdr:col>
      <xdr:colOff>1739900</xdr:colOff>
      <xdr:row>16</xdr:row>
      <xdr:rowOff>63500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31CC473-CB47-91DF-2DF6-86645B7B8D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0</xdr:rowOff>
    </xdr:from>
    <xdr:to>
      <xdr:col>15</xdr:col>
      <xdr:colOff>152400</xdr:colOff>
      <xdr:row>16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825500</xdr:colOff>
      <xdr:row>29</xdr:row>
      <xdr:rowOff>133350</xdr:rowOff>
    </xdr:from>
    <xdr:to>
      <xdr:col>18</xdr:col>
      <xdr:colOff>482600</xdr:colOff>
      <xdr:row>44</xdr:row>
      <xdr:rowOff>19050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5EF8F7CD-21EF-C02E-12F2-B1D0335558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31750</xdr:colOff>
      <xdr:row>53</xdr:row>
      <xdr:rowOff>114300</xdr:rowOff>
    </xdr:from>
    <xdr:to>
      <xdr:col>35</xdr:col>
      <xdr:colOff>584200</xdr:colOff>
      <xdr:row>68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6C73D21-A05E-0149-89B0-37E1651574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10</xdr:col>
      <xdr:colOff>304800</xdr:colOff>
      <xdr:row>15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800100</xdr:colOff>
          <xdr:row>11</xdr:row>
          <xdr:rowOff>88900</xdr:rowOff>
        </xdr:from>
        <xdr:to>
          <xdr:col>0</xdr:col>
          <xdr:colOff>2324100</xdr:colOff>
          <xdr:row>13</xdr:row>
          <xdr:rowOff>88900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A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10</xdr:col>
      <xdr:colOff>304800</xdr:colOff>
      <xdr:row>16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guel Angel Pérez" refreshedDate="46053.515978703705" createdVersion="8" refreshedVersion="8" minRefreshableVersion="3" recordCount="1799" xr:uid="{993AB6D4-1ED7-C44E-83E5-B235F0EA6FD1}">
  <cacheSource type="worksheet">
    <worksheetSource name="T_eventosBD"/>
  </cacheSource>
  <cacheFields count="13">
    <cacheField name="PartidoID" numFmtId="0">
      <sharedItems containsSemiMixedTypes="0" containsString="0" containsNumber="1" containsInteger="1" minValue="1" maxValue="9" count="9">
        <n v="1"/>
        <n v="2"/>
        <n v="3"/>
        <n v="4"/>
        <n v="5"/>
        <n v="6"/>
        <n v="7"/>
        <n v="8"/>
        <n v="9"/>
      </sharedItems>
    </cacheField>
    <cacheField name="FECHA" numFmtId="0">
      <sharedItems containsNonDate="0" containsDate="1" containsString="0" containsBlank="1" minDate="2025-12-07T00:00:00" maxDate="2026-01-20T00:00:00"/>
    </cacheField>
    <cacheField name="RIVAL" numFmtId="0">
      <sharedItems containsBlank="1" count="9">
        <s v="PIZARRA"/>
        <s v="CASABERMEJA"/>
        <s v="ALHAURIN"/>
        <s v="CANTORIA 2017"/>
        <s v="Villacarrillo"/>
        <s v="Cuevas"/>
        <s v="Polideportivo Almeria"/>
        <s v="Maracena"/>
        <m u="1"/>
      </sharedItems>
    </cacheField>
    <cacheField name="JORNADA" numFmtId="0">
      <sharedItems containsString="0" containsBlank="1" containsNumber="1" containsInteger="1" minValue="10" maxValue="16"/>
    </cacheField>
    <cacheField name="CAMPO" numFmtId="0">
      <sharedItems containsBlank="1"/>
    </cacheField>
    <cacheField name="SISTEMA" numFmtId="0">
      <sharedItems containsNonDate="0" containsDate="1" containsString="0" containsBlank="1" minDate="2002-04-04T00:00:00" maxDate="2002-04-05T00:00:00" count="2">
        <m/>
        <d v="2002-04-04T00:00:00"/>
      </sharedItems>
    </cacheField>
    <cacheField name="MINUTO" numFmtId="0">
      <sharedItems containsDate="1" containsBlank="1" containsMixedTypes="1" minDate="1899-12-31T04:01:03" maxDate="2025-03-03T00:00:00" count="105">
        <n v="2"/>
        <n v="3"/>
        <n v="4"/>
        <n v="5"/>
        <n v="6"/>
        <n v="7"/>
        <n v="9"/>
        <n v="10"/>
        <n v="11"/>
        <n v="12"/>
        <n v="13"/>
        <n v="14"/>
        <n v="15"/>
        <n v="16"/>
        <n v="17"/>
        <n v="18"/>
        <n v="19"/>
        <n v="21"/>
        <n v="22"/>
        <n v="23"/>
        <n v="24"/>
        <n v="25"/>
        <n v="28"/>
        <n v="29"/>
        <n v="26"/>
        <n v="31"/>
        <n v="32"/>
        <n v="51"/>
        <n v="52"/>
        <n v="34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85"/>
        <n v="87"/>
        <n v="53"/>
        <n v="90"/>
        <n v="91"/>
        <n v="92"/>
        <n v="56"/>
        <n v="57"/>
        <n v="58"/>
        <n v="59"/>
        <n v="61"/>
        <n v="63"/>
        <n v="64"/>
        <n v="65"/>
        <n v="66"/>
        <n v="67"/>
        <n v="68"/>
        <n v="69"/>
        <n v="70"/>
        <n v="71"/>
        <n v="74"/>
        <n v="75"/>
        <n v="76"/>
        <n v="77"/>
        <n v="78"/>
        <n v="79"/>
        <n v="81"/>
        <n v="82"/>
        <n v="83"/>
        <n v="88"/>
        <n v="89"/>
        <n v="93"/>
        <n v="94"/>
        <n v="95"/>
        <n v="1"/>
        <m/>
        <n v="8"/>
        <n v="20"/>
        <n v="27"/>
        <n v="33"/>
        <n v="35"/>
        <n v="30"/>
        <d v="2025-01-01T00:00:00"/>
        <n v="45658"/>
        <d v="2025-02-01T00:00:00"/>
        <d v="2025-01-02T00:00:00"/>
        <n v="45659"/>
        <d v="2025-03-01T00:00:00"/>
        <n v="45717"/>
        <d v="2025-02-02T00:00:00"/>
        <n v="45690"/>
        <d v="2025-03-02T00:00:00"/>
        <n v="45718"/>
        <s v="1/1"/>
        <s v="1/2"/>
        <s v="1/3"/>
        <s v="2/1"/>
        <s v="2/2"/>
        <s v="2/3"/>
        <s v="3/1"/>
        <s v="3/2"/>
      </sharedItems>
    </cacheField>
    <cacheField name="JUGADOR" numFmtId="0">
      <sharedItems containsBlank="1" count="28">
        <s v="Juanmi"/>
        <s v="Francis"/>
        <s v="Ivan"/>
        <s v="Jairo"/>
        <s v="Antonio Vilches"/>
        <s v="Ayala"/>
        <s v="Andrews"/>
        <s v="Jorge"/>
        <s v="Martinez"/>
        <s v="Victor"/>
        <s v="Aitor"/>
        <s v="Nico"/>
        <s v="Nacho"/>
        <s v="Yaco"/>
        <s v="Manu"/>
        <s v="Jaime"/>
        <s v="Hiago"/>
        <s v="Javi"/>
        <s v="Acosta"/>
        <s v="Antonio"/>
        <s v="Cristian"/>
        <s v="Tadeo"/>
        <s v="Lolo"/>
        <m/>
        <s v="ANTONIO GÁMEZ" u="1"/>
        <s v="MARTÍNEZ" u="1"/>
        <s v="ANDREW" u="1"/>
        <s v="YAGO" u="1"/>
      </sharedItems>
    </cacheField>
    <cacheField name="EVENTO" numFmtId="0">
      <sharedItems containsBlank="1" count="34">
        <s v="Duel"/>
        <s v="Intercepción"/>
        <s v="Pérdida NF"/>
        <s v="Recuperación alta"/>
        <s v="Duel aéreo"/>
        <s v="Entrada"/>
        <s v="Regate"/>
        <s v="Pase"/>
        <s v="Falta cometida"/>
        <s v="Pérdida F"/>
        <s v="Centro"/>
        <s v="Falta recibida"/>
        <s v="Pase clave"/>
        <s v="Gol"/>
        <s v="Tiro"/>
        <s v="Asistencia"/>
        <s v="Duelo aéreo"/>
        <s v="Duelo"/>
        <s v="Cambio de orientacion"/>
        <s v="Centro bueno"/>
        <m/>
        <s v="ABP"/>
        <s v="2 jugada"/>
        <s v="Acción clave"/>
        <s v="PASE  "/>
        <s v="CAIDA"/>
        <s v="PASE A LA ESPALDA"/>
        <s v="FALTA RECIBIDAD"/>
        <s v="PERDIDA NO FORZADA"/>
        <s v="PERDIDA FORZADA "/>
        <s v="DISPARO"/>
        <s v="CAMBIO ORIENTACIÓN"/>
        <s v="ROBO"/>
        <s v="Tarjeta" u="1"/>
      </sharedItems>
    </cacheField>
    <cacheField name="REsultadoAccion" numFmtId="0">
      <sharedItems containsBlank="1" count="8">
        <s v="Fallado"/>
        <s v="OK"/>
        <s v="Perdido"/>
        <s v="Ganado"/>
        <s v="AP"/>
        <m/>
        <s v="Amarilla" u="1"/>
        <s v="Roja" u="1"/>
      </sharedItems>
    </cacheField>
    <cacheField name="ZONA" numFmtId="0">
      <sharedItems containsBlank="1" count="23">
        <s v="Área propia"/>
        <s v="Costado Izquierdo"/>
        <s v="Delantero"/>
        <s v="Interior Izquierdo"/>
        <s v="Costado Derecho"/>
        <s v="MC"/>
        <s v="Pivote"/>
        <s v="Último tercio"/>
        <s v="MEDIA PUNTA"/>
        <s v="Frontal"/>
        <s v="Interior derecha"/>
        <m/>
        <s v="Derecha "/>
        <s v="INTERIOR"/>
        <s v="MEDIO CENTRO"/>
        <s v="ATAQUE CENTRO"/>
        <s v="DEFENSA IZQUIERDA"/>
        <s v="MEDIO IZQUIERDA"/>
        <s v="DEFENSA DERECHA"/>
        <s v="ATAQUE DERECHO"/>
        <s v="DEFENSA CENTRO"/>
        <s v="MEDIO DERECHA"/>
        <s v="ATAQUE IZQUIERDO"/>
      </sharedItems>
    </cacheField>
    <cacheField name="TERCIO" numFmtId="0">
      <sharedItems containsBlank="1" count="4">
        <s v="DEFENSA"/>
        <s v="ATAQUE"/>
        <s v="CONSTRUCCIÓN"/>
        <m/>
      </sharedItems>
    </cacheField>
    <cacheField name="Observacion" numFmtId="0">
      <sharedItems containsBlank="1" containsMixedTypes="1" containsNumber="1" containsInteger="1" minValue="2" maxValue="3"/>
    </cacheField>
  </cacheFields>
  <extLst>
    <ext xmlns:x14="http://schemas.microsoft.com/office/spreadsheetml/2009/9/main" uri="{725AE2AE-9491-48be-B2B4-4EB974FC3084}">
      <x14:pivotCacheDefinition pivotCacheId="40862946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99">
  <r>
    <x v="0"/>
    <m/>
    <x v="0"/>
    <m/>
    <m/>
    <x v="0"/>
    <x v="0"/>
    <x v="0"/>
    <x v="0"/>
    <x v="0"/>
    <x v="0"/>
    <x v="0"/>
    <s v="Gol"/>
  </r>
  <r>
    <x v="0"/>
    <m/>
    <x v="0"/>
    <m/>
    <m/>
    <x v="0"/>
    <x v="1"/>
    <x v="1"/>
    <x v="1"/>
    <x v="1"/>
    <x v="1"/>
    <x v="0"/>
    <m/>
  </r>
  <r>
    <x v="0"/>
    <m/>
    <x v="0"/>
    <m/>
    <m/>
    <x v="0"/>
    <x v="2"/>
    <x v="2"/>
    <x v="0"/>
    <x v="2"/>
    <x v="2"/>
    <x v="1"/>
    <m/>
  </r>
  <r>
    <x v="0"/>
    <m/>
    <x v="0"/>
    <m/>
    <m/>
    <x v="0"/>
    <x v="3"/>
    <x v="3"/>
    <x v="0"/>
    <x v="2"/>
    <x v="3"/>
    <x v="2"/>
    <m/>
  </r>
  <r>
    <x v="0"/>
    <m/>
    <x v="0"/>
    <m/>
    <m/>
    <x v="0"/>
    <x v="4"/>
    <x v="4"/>
    <x v="1"/>
    <x v="3"/>
    <x v="4"/>
    <x v="0"/>
    <m/>
  </r>
  <r>
    <x v="0"/>
    <m/>
    <x v="0"/>
    <m/>
    <m/>
    <x v="0"/>
    <x v="5"/>
    <x v="5"/>
    <x v="2"/>
    <x v="0"/>
    <x v="4"/>
    <x v="0"/>
    <m/>
  </r>
  <r>
    <x v="0"/>
    <m/>
    <x v="0"/>
    <m/>
    <m/>
    <x v="0"/>
    <x v="5"/>
    <x v="2"/>
    <x v="3"/>
    <x v="1"/>
    <x v="5"/>
    <x v="2"/>
    <m/>
  </r>
  <r>
    <x v="0"/>
    <m/>
    <x v="0"/>
    <m/>
    <m/>
    <x v="0"/>
    <x v="6"/>
    <x v="5"/>
    <x v="4"/>
    <x v="1"/>
    <x v="5"/>
    <x v="2"/>
    <m/>
  </r>
  <r>
    <x v="0"/>
    <m/>
    <x v="0"/>
    <m/>
    <m/>
    <x v="0"/>
    <x v="7"/>
    <x v="0"/>
    <x v="4"/>
    <x v="3"/>
    <x v="6"/>
    <x v="2"/>
    <m/>
  </r>
  <r>
    <x v="0"/>
    <m/>
    <x v="0"/>
    <m/>
    <m/>
    <x v="0"/>
    <x v="8"/>
    <x v="2"/>
    <x v="4"/>
    <x v="3"/>
    <x v="2"/>
    <x v="1"/>
    <m/>
  </r>
  <r>
    <x v="0"/>
    <m/>
    <x v="0"/>
    <m/>
    <m/>
    <x v="0"/>
    <x v="9"/>
    <x v="1"/>
    <x v="5"/>
    <x v="0"/>
    <x v="1"/>
    <x v="0"/>
    <m/>
  </r>
  <r>
    <x v="0"/>
    <m/>
    <x v="0"/>
    <m/>
    <m/>
    <x v="0"/>
    <x v="10"/>
    <x v="2"/>
    <x v="6"/>
    <x v="3"/>
    <x v="2"/>
    <x v="1"/>
    <m/>
  </r>
  <r>
    <x v="0"/>
    <m/>
    <x v="0"/>
    <m/>
    <m/>
    <x v="0"/>
    <x v="11"/>
    <x v="1"/>
    <x v="1"/>
    <x v="3"/>
    <x v="3"/>
    <x v="2"/>
    <m/>
  </r>
  <r>
    <x v="0"/>
    <m/>
    <x v="0"/>
    <m/>
    <m/>
    <x v="0"/>
    <x v="12"/>
    <x v="6"/>
    <x v="7"/>
    <x v="1"/>
    <x v="5"/>
    <x v="2"/>
    <m/>
  </r>
  <r>
    <x v="0"/>
    <m/>
    <x v="0"/>
    <m/>
    <m/>
    <x v="0"/>
    <x v="13"/>
    <x v="7"/>
    <x v="6"/>
    <x v="3"/>
    <x v="7"/>
    <x v="1"/>
    <m/>
  </r>
  <r>
    <x v="0"/>
    <m/>
    <x v="0"/>
    <m/>
    <m/>
    <x v="0"/>
    <x v="13"/>
    <x v="8"/>
    <x v="1"/>
    <x v="3"/>
    <x v="5"/>
    <x v="2"/>
    <m/>
  </r>
  <r>
    <x v="0"/>
    <m/>
    <x v="0"/>
    <m/>
    <m/>
    <x v="0"/>
    <x v="14"/>
    <x v="4"/>
    <x v="1"/>
    <x v="3"/>
    <x v="5"/>
    <x v="2"/>
    <m/>
  </r>
  <r>
    <x v="0"/>
    <m/>
    <x v="0"/>
    <m/>
    <m/>
    <x v="0"/>
    <x v="15"/>
    <x v="5"/>
    <x v="1"/>
    <x v="3"/>
    <x v="4"/>
    <x v="0"/>
    <m/>
  </r>
  <r>
    <x v="0"/>
    <m/>
    <x v="0"/>
    <m/>
    <m/>
    <x v="0"/>
    <x v="16"/>
    <x v="4"/>
    <x v="1"/>
    <x v="3"/>
    <x v="7"/>
    <x v="1"/>
    <m/>
  </r>
  <r>
    <x v="0"/>
    <m/>
    <x v="0"/>
    <m/>
    <m/>
    <x v="0"/>
    <x v="17"/>
    <x v="9"/>
    <x v="1"/>
    <x v="3"/>
    <x v="5"/>
    <x v="2"/>
    <m/>
  </r>
  <r>
    <x v="0"/>
    <m/>
    <x v="0"/>
    <m/>
    <m/>
    <x v="0"/>
    <x v="17"/>
    <x v="5"/>
    <x v="1"/>
    <x v="3"/>
    <x v="6"/>
    <x v="2"/>
    <m/>
  </r>
  <r>
    <x v="0"/>
    <m/>
    <x v="0"/>
    <m/>
    <m/>
    <x v="0"/>
    <x v="18"/>
    <x v="3"/>
    <x v="1"/>
    <x v="3"/>
    <x v="5"/>
    <x v="2"/>
    <m/>
  </r>
  <r>
    <x v="0"/>
    <m/>
    <x v="0"/>
    <m/>
    <m/>
    <x v="0"/>
    <x v="19"/>
    <x v="5"/>
    <x v="7"/>
    <x v="1"/>
    <x v="5"/>
    <x v="2"/>
    <m/>
  </r>
  <r>
    <x v="0"/>
    <m/>
    <x v="0"/>
    <m/>
    <m/>
    <x v="0"/>
    <x v="19"/>
    <x v="4"/>
    <x v="7"/>
    <x v="1"/>
    <x v="5"/>
    <x v="2"/>
    <m/>
  </r>
  <r>
    <x v="0"/>
    <m/>
    <x v="0"/>
    <m/>
    <m/>
    <x v="0"/>
    <x v="20"/>
    <x v="3"/>
    <x v="7"/>
    <x v="1"/>
    <x v="5"/>
    <x v="2"/>
    <m/>
  </r>
  <r>
    <x v="0"/>
    <m/>
    <x v="0"/>
    <m/>
    <m/>
    <x v="0"/>
    <x v="20"/>
    <x v="5"/>
    <x v="6"/>
    <x v="3"/>
    <x v="6"/>
    <x v="2"/>
    <m/>
  </r>
  <r>
    <x v="0"/>
    <m/>
    <x v="0"/>
    <m/>
    <m/>
    <x v="0"/>
    <x v="20"/>
    <x v="5"/>
    <x v="2"/>
    <x v="2"/>
    <x v="5"/>
    <x v="2"/>
    <m/>
  </r>
  <r>
    <x v="0"/>
    <m/>
    <x v="0"/>
    <m/>
    <m/>
    <x v="0"/>
    <x v="21"/>
    <x v="4"/>
    <x v="8"/>
    <x v="1"/>
    <x v="4"/>
    <x v="0"/>
    <m/>
  </r>
  <r>
    <x v="0"/>
    <m/>
    <x v="0"/>
    <m/>
    <m/>
    <x v="0"/>
    <x v="21"/>
    <x v="1"/>
    <x v="4"/>
    <x v="3"/>
    <x v="1"/>
    <x v="0"/>
    <m/>
  </r>
  <r>
    <x v="0"/>
    <m/>
    <x v="0"/>
    <m/>
    <m/>
    <x v="0"/>
    <x v="22"/>
    <x v="0"/>
    <x v="4"/>
    <x v="3"/>
    <x v="6"/>
    <x v="2"/>
    <m/>
  </r>
  <r>
    <x v="0"/>
    <m/>
    <x v="0"/>
    <m/>
    <m/>
    <x v="0"/>
    <x v="22"/>
    <x v="5"/>
    <x v="9"/>
    <x v="1"/>
    <x v="5"/>
    <x v="2"/>
    <m/>
  </r>
  <r>
    <x v="0"/>
    <m/>
    <x v="0"/>
    <m/>
    <m/>
    <x v="0"/>
    <x v="22"/>
    <x v="0"/>
    <x v="2"/>
    <x v="2"/>
    <x v="5"/>
    <x v="2"/>
    <s v="Gol"/>
  </r>
  <r>
    <x v="0"/>
    <m/>
    <x v="0"/>
    <m/>
    <m/>
    <x v="0"/>
    <x v="22"/>
    <x v="1"/>
    <x v="2"/>
    <x v="2"/>
    <x v="5"/>
    <x v="2"/>
    <s v="Gol"/>
  </r>
  <r>
    <x v="0"/>
    <m/>
    <x v="0"/>
    <m/>
    <m/>
    <x v="0"/>
    <x v="23"/>
    <x v="9"/>
    <x v="1"/>
    <x v="3"/>
    <x v="5"/>
    <x v="2"/>
    <m/>
  </r>
  <r>
    <x v="0"/>
    <m/>
    <x v="0"/>
    <m/>
    <m/>
    <x v="0"/>
    <x v="24"/>
    <x v="5"/>
    <x v="4"/>
    <x v="2"/>
    <x v="5"/>
    <x v="2"/>
    <m/>
  </r>
  <r>
    <x v="0"/>
    <m/>
    <x v="0"/>
    <m/>
    <m/>
    <x v="0"/>
    <x v="25"/>
    <x v="5"/>
    <x v="4"/>
    <x v="3"/>
    <x v="8"/>
    <x v="1"/>
    <m/>
  </r>
  <r>
    <x v="0"/>
    <m/>
    <x v="0"/>
    <m/>
    <m/>
    <x v="0"/>
    <x v="26"/>
    <x v="1"/>
    <x v="7"/>
    <x v="1"/>
    <x v="5"/>
    <x v="2"/>
    <m/>
  </r>
  <r>
    <x v="0"/>
    <m/>
    <x v="0"/>
    <m/>
    <m/>
    <x v="0"/>
    <x v="27"/>
    <x v="5"/>
    <x v="7"/>
    <x v="1"/>
    <x v="5"/>
    <x v="2"/>
    <m/>
  </r>
  <r>
    <x v="0"/>
    <m/>
    <x v="0"/>
    <m/>
    <m/>
    <x v="0"/>
    <x v="28"/>
    <x v="9"/>
    <x v="7"/>
    <x v="0"/>
    <x v="5"/>
    <x v="2"/>
    <m/>
  </r>
  <r>
    <x v="0"/>
    <m/>
    <x v="0"/>
    <m/>
    <m/>
    <x v="0"/>
    <x v="26"/>
    <x v="8"/>
    <x v="1"/>
    <x v="3"/>
    <x v="5"/>
    <x v="2"/>
    <m/>
  </r>
  <r>
    <x v="0"/>
    <m/>
    <x v="0"/>
    <m/>
    <m/>
    <x v="0"/>
    <x v="29"/>
    <x v="5"/>
    <x v="7"/>
    <x v="1"/>
    <x v="5"/>
    <x v="2"/>
    <m/>
  </r>
  <r>
    <x v="0"/>
    <m/>
    <x v="0"/>
    <m/>
    <m/>
    <x v="0"/>
    <x v="29"/>
    <x v="9"/>
    <x v="7"/>
    <x v="0"/>
    <x v="5"/>
    <x v="2"/>
    <m/>
  </r>
  <r>
    <x v="0"/>
    <m/>
    <x v="0"/>
    <m/>
    <m/>
    <x v="0"/>
    <x v="29"/>
    <x v="8"/>
    <x v="0"/>
    <x v="3"/>
    <x v="5"/>
    <x v="2"/>
    <m/>
  </r>
  <r>
    <x v="0"/>
    <m/>
    <x v="0"/>
    <m/>
    <m/>
    <x v="0"/>
    <x v="29"/>
    <x v="2"/>
    <x v="0"/>
    <x v="2"/>
    <x v="5"/>
    <x v="2"/>
    <m/>
  </r>
  <r>
    <x v="0"/>
    <m/>
    <x v="0"/>
    <m/>
    <m/>
    <x v="0"/>
    <x v="29"/>
    <x v="10"/>
    <x v="0"/>
    <x v="2"/>
    <x v="5"/>
    <x v="2"/>
    <m/>
  </r>
  <r>
    <x v="0"/>
    <m/>
    <x v="0"/>
    <m/>
    <m/>
    <x v="0"/>
    <x v="30"/>
    <x v="4"/>
    <x v="1"/>
    <x v="1"/>
    <x v="4"/>
    <x v="0"/>
    <m/>
  </r>
  <r>
    <x v="0"/>
    <m/>
    <x v="0"/>
    <m/>
    <m/>
    <x v="0"/>
    <x v="31"/>
    <x v="2"/>
    <x v="0"/>
    <x v="2"/>
    <x v="2"/>
    <x v="1"/>
    <m/>
  </r>
  <r>
    <x v="0"/>
    <m/>
    <x v="0"/>
    <m/>
    <m/>
    <x v="0"/>
    <x v="31"/>
    <x v="8"/>
    <x v="4"/>
    <x v="3"/>
    <x v="2"/>
    <x v="1"/>
    <m/>
  </r>
  <r>
    <x v="0"/>
    <m/>
    <x v="0"/>
    <m/>
    <m/>
    <x v="0"/>
    <x v="32"/>
    <x v="8"/>
    <x v="6"/>
    <x v="1"/>
    <x v="5"/>
    <x v="2"/>
    <m/>
  </r>
  <r>
    <x v="0"/>
    <m/>
    <x v="0"/>
    <m/>
    <m/>
    <x v="0"/>
    <x v="32"/>
    <x v="4"/>
    <x v="7"/>
    <x v="1"/>
    <x v="4"/>
    <x v="0"/>
    <m/>
  </r>
  <r>
    <x v="0"/>
    <m/>
    <x v="0"/>
    <m/>
    <m/>
    <x v="0"/>
    <x v="33"/>
    <x v="10"/>
    <x v="7"/>
    <x v="1"/>
    <x v="5"/>
    <x v="2"/>
    <m/>
  </r>
  <r>
    <x v="0"/>
    <m/>
    <x v="0"/>
    <m/>
    <m/>
    <x v="0"/>
    <x v="33"/>
    <x v="11"/>
    <x v="10"/>
    <x v="0"/>
    <x v="7"/>
    <x v="1"/>
    <m/>
  </r>
  <r>
    <x v="0"/>
    <m/>
    <x v="0"/>
    <m/>
    <m/>
    <x v="0"/>
    <x v="34"/>
    <x v="3"/>
    <x v="7"/>
    <x v="1"/>
    <x v="5"/>
    <x v="2"/>
    <m/>
  </r>
  <r>
    <x v="0"/>
    <m/>
    <x v="0"/>
    <m/>
    <m/>
    <x v="0"/>
    <x v="35"/>
    <x v="3"/>
    <x v="7"/>
    <x v="1"/>
    <x v="5"/>
    <x v="2"/>
    <m/>
  </r>
  <r>
    <x v="0"/>
    <m/>
    <x v="0"/>
    <m/>
    <m/>
    <x v="0"/>
    <x v="35"/>
    <x v="9"/>
    <x v="0"/>
    <x v="0"/>
    <x v="6"/>
    <x v="2"/>
    <m/>
  </r>
  <r>
    <x v="0"/>
    <m/>
    <x v="0"/>
    <m/>
    <m/>
    <x v="0"/>
    <x v="34"/>
    <x v="5"/>
    <x v="7"/>
    <x v="1"/>
    <x v="5"/>
    <x v="2"/>
    <m/>
  </r>
  <r>
    <x v="0"/>
    <m/>
    <x v="0"/>
    <m/>
    <m/>
    <x v="0"/>
    <x v="36"/>
    <x v="10"/>
    <x v="11"/>
    <x v="1"/>
    <x v="5"/>
    <x v="2"/>
    <m/>
  </r>
  <r>
    <x v="0"/>
    <m/>
    <x v="0"/>
    <m/>
    <m/>
    <x v="0"/>
    <x v="37"/>
    <x v="2"/>
    <x v="4"/>
    <x v="3"/>
    <x v="5"/>
    <x v="2"/>
    <m/>
  </r>
  <r>
    <x v="0"/>
    <m/>
    <x v="0"/>
    <m/>
    <m/>
    <x v="0"/>
    <x v="37"/>
    <x v="3"/>
    <x v="12"/>
    <x v="1"/>
    <x v="9"/>
    <x v="1"/>
    <m/>
  </r>
  <r>
    <x v="0"/>
    <m/>
    <x v="0"/>
    <m/>
    <m/>
    <x v="0"/>
    <x v="37"/>
    <x v="2"/>
    <x v="13"/>
    <x v="1"/>
    <x v="2"/>
    <x v="1"/>
    <s v="Gol"/>
  </r>
  <r>
    <x v="0"/>
    <m/>
    <x v="0"/>
    <m/>
    <m/>
    <x v="0"/>
    <x v="38"/>
    <x v="1"/>
    <x v="1"/>
    <x v="3"/>
    <x v="5"/>
    <x v="2"/>
    <m/>
  </r>
  <r>
    <x v="0"/>
    <m/>
    <x v="0"/>
    <m/>
    <m/>
    <x v="0"/>
    <x v="35"/>
    <x v="9"/>
    <x v="9"/>
    <x v="0"/>
    <x v="6"/>
    <x v="2"/>
    <m/>
  </r>
  <r>
    <x v="0"/>
    <m/>
    <x v="0"/>
    <m/>
    <m/>
    <x v="0"/>
    <x v="39"/>
    <x v="4"/>
    <x v="4"/>
    <x v="3"/>
    <x v="5"/>
    <x v="2"/>
    <m/>
  </r>
  <r>
    <x v="0"/>
    <m/>
    <x v="0"/>
    <m/>
    <m/>
    <x v="0"/>
    <x v="40"/>
    <x v="5"/>
    <x v="7"/>
    <x v="1"/>
    <x v="6"/>
    <x v="2"/>
    <m/>
  </r>
  <r>
    <x v="0"/>
    <m/>
    <x v="0"/>
    <m/>
    <m/>
    <x v="0"/>
    <x v="40"/>
    <x v="5"/>
    <x v="1"/>
    <x v="3"/>
    <x v="7"/>
    <x v="1"/>
    <m/>
  </r>
  <r>
    <x v="0"/>
    <m/>
    <x v="0"/>
    <m/>
    <m/>
    <x v="0"/>
    <x v="40"/>
    <x v="8"/>
    <x v="4"/>
    <x v="3"/>
    <x v="7"/>
    <x v="1"/>
    <m/>
  </r>
  <r>
    <x v="0"/>
    <m/>
    <x v="0"/>
    <m/>
    <m/>
    <x v="0"/>
    <x v="41"/>
    <x v="10"/>
    <x v="4"/>
    <x v="2"/>
    <x v="7"/>
    <x v="1"/>
    <m/>
  </r>
  <r>
    <x v="0"/>
    <m/>
    <x v="0"/>
    <m/>
    <m/>
    <x v="0"/>
    <x v="42"/>
    <x v="1"/>
    <x v="1"/>
    <x v="3"/>
    <x v="7"/>
    <x v="1"/>
    <m/>
  </r>
  <r>
    <x v="0"/>
    <m/>
    <x v="0"/>
    <m/>
    <m/>
    <x v="0"/>
    <x v="42"/>
    <x v="1"/>
    <x v="12"/>
    <x v="1"/>
    <x v="7"/>
    <x v="1"/>
    <m/>
  </r>
  <r>
    <x v="0"/>
    <m/>
    <x v="0"/>
    <m/>
    <m/>
    <x v="0"/>
    <x v="42"/>
    <x v="9"/>
    <x v="0"/>
    <x v="2"/>
    <x v="0"/>
    <x v="0"/>
    <m/>
  </r>
  <r>
    <x v="0"/>
    <m/>
    <x v="0"/>
    <m/>
    <m/>
    <x v="0"/>
    <x v="43"/>
    <x v="3"/>
    <x v="6"/>
    <x v="0"/>
    <x v="4"/>
    <x v="0"/>
    <m/>
  </r>
  <r>
    <x v="0"/>
    <m/>
    <x v="0"/>
    <m/>
    <m/>
    <x v="0"/>
    <x v="44"/>
    <x v="12"/>
    <x v="0"/>
    <x v="3"/>
    <x v="1"/>
    <x v="0"/>
    <m/>
  </r>
  <r>
    <x v="0"/>
    <m/>
    <x v="0"/>
    <m/>
    <m/>
    <x v="0"/>
    <x v="27"/>
    <x v="10"/>
    <x v="7"/>
    <x v="1"/>
    <x v="6"/>
    <x v="2"/>
    <m/>
  </r>
  <r>
    <x v="0"/>
    <m/>
    <x v="0"/>
    <m/>
    <m/>
    <x v="0"/>
    <x v="45"/>
    <x v="12"/>
    <x v="0"/>
    <x v="2"/>
    <x v="6"/>
    <x v="2"/>
    <m/>
  </r>
  <r>
    <x v="0"/>
    <m/>
    <x v="0"/>
    <m/>
    <m/>
    <x v="0"/>
    <x v="28"/>
    <x v="4"/>
    <x v="1"/>
    <x v="3"/>
    <x v="4"/>
    <x v="0"/>
    <m/>
  </r>
  <r>
    <x v="0"/>
    <m/>
    <x v="0"/>
    <m/>
    <m/>
    <x v="0"/>
    <x v="46"/>
    <x v="4"/>
    <x v="1"/>
    <x v="3"/>
    <x v="10"/>
    <x v="2"/>
    <m/>
  </r>
  <r>
    <x v="0"/>
    <m/>
    <x v="0"/>
    <m/>
    <m/>
    <x v="0"/>
    <x v="47"/>
    <x v="0"/>
    <x v="7"/>
    <x v="2"/>
    <x v="6"/>
    <x v="2"/>
    <m/>
  </r>
  <r>
    <x v="0"/>
    <m/>
    <x v="0"/>
    <m/>
    <m/>
    <x v="0"/>
    <x v="48"/>
    <x v="10"/>
    <x v="0"/>
    <x v="2"/>
    <x v="7"/>
    <x v="1"/>
    <m/>
  </r>
  <r>
    <x v="0"/>
    <m/>
    <x v="0"/>
    <m/>
    <m/>
    <x v="0"/>
    <x v="49"/>
    <x v="2"/>
    <x v="0"/>
    <x v="3"/>
    <x v="7"/>
    <x v="1"/>
    <m/>
  </r>
  <r>
    <x v="0"/>
    <m/>
    <x v="0"/>
    <m/>
    <m/>
    <x v="0"/>
    <x v="50"/>
    <x v="3"/>
    <x v="0"/>
    <x v="3"/>
    <x v="7"/>
    <x v="1"/>
    <m/>
  </r>
  <r>
    <x v="0"/>
    <m/>
    <x v="0"/>
    <m/>
    <m/>
    <x v="0"/>
    <x v="50"/>
    <x v="10"/>
    <x v="6"/>
    <x v="3"/>
    <x v="7"/>
    <x v="1"/>
    <m/>
  </r>
  <r>
    <x v="0"/>
    <m/>
    <x v="0"/>
    <m/>
    <m/>
    <x v="0"/>
    <x v="50"/>
    <x v="3"/>
    <x v="7"/>
    <x v="3"/>
    <x v="7"/>
    <x v="1"/>
    <m/>
  </r>
  <r>
    <x v="0"/>
    <m/>
    <x v="0"/>
    <m/>
    <m/>
    <x v="0"/>
    <x v="51"/>
    <x v="4"/>
    <x v="4"/>
    <x v="3"/>
    <x v="7"/>
    <x v="1"/>
    <m/>
  </r>
  <r>
    <x v="0"/>
    <m/>
    <x v="0"/>
    <m/>
    <m/>
    <x v="0"/>
    <x v="52"/>
    <x v="13"/>
    <x v="0"/>
    <x v="3"/>
    <x v="7"/>
    <x v="1"/>
    <m/>
  </r>
  <r>
    <x v="0"/>
    <m/>
    <x v="0"/>
    <m/>
    <m/>
    <x v="0"/>
    <x v="53"/>
    <x v="3"/>
    <x v="12"/>
    <x v="1"/>
    <x v="2"/>
    <x v="1"/>
    <m/>
  </r>
  <r>
    <x v="0"/>
    <m/>
    <x v="0"/>
    <m/>
    <m/>
    <x v="0"/>
    <x v="53"/>
    <x v="2"/>
    <x v="12"/>
    <x v="1"/>
    <x v="2"/>
    <x v="1"/>
    <m/>
  </r>
  <r>
    <x v="0"/>
    <m/>
    <x v="0"/>
    <m/>
    <m/>
    <x v="0"/>
    <x v="53"/>
    <x v="3"/>
    <x v="14"/>
    <x v="0"/>
    <x v="2"/>
    <x v="1"/>
    <m/>
  </r>
  <r>
    <x v="0"/>
    <m/>
    <x v="0"/>
    <m/>
    <m/>
    <x v="0"/>
    <x v="53"/>
    <x v="10"/>
    <x v="12"/>
    <x v="0"/>
    <x v="2"/>
    <x v="1"/>
    <m/>
  </r>
  <r>
    <x v="0"/>
    <m/>
    <x v="0"/>
    <m/>
    <m/>
    <x v="0"/>
    <x v="54"/>
    <x v="1"/>
    <x v="0"/>
    <x v="0"/>
    <x v="1"/>
    <x v="0"/>
    <m/>
  </r>
  <r>
    <x v="0"/>
    <m/>
    <x v="0"/>
    <m/>
    <m/>
    <x v="0"/>
    <x v="55"/>
    <x v="0"/>
    <x v="9"/>
    <x v="3"/>
    <x v="0"/>
    <x v="0"/>
    <m/>
  </r>
  <r>
    <x v="0"/>
    <m/>
    <x v="0"/>
    <m/>
    <m/>
    <x v="0"/>
    <x v="56"/>
    <x v="1"/>
    <x v="1"/>
    <x v="3"/>
    <x v="1"/>
    <x v="0"/>
    <m/>
  </r>
  <r>
    <x v="0"/>
    <m/>
    <x v="0"/>
    <m/>
    <m/>
    <x v="0"/>
    <x v="56"/>
    <x v="2"/>
    <x v="0"/>
    <x v="3"/>
    <x v="7"/>
    <x v="1"/>
    <m/>
  </r>
  <r>
    <x v="0"/>
    <m/>
    <x v="0"/>
    <m/>
    <m/>
    <x v="0"/>
    <x v="56"/>
    <x v="2"/>
    <x v="12"/>
    <x v="1"/>
    <x v="7"/>
    <x v="1"/>
    <m/>
  </r>
  <r>
    <x v="0"/>
    <m/>
    <x v="0"/>
    <m/>
    <m/>
    <x v="0"/>
    <x v="57"/>
    <x v="8"/>
    <x v="0"/>
    <x v="3"/>
    <x v="6"/>
    <x v="2"/>
    <m/>
  </r>
  <r>
    <x v="0"/>
    <m/>
    <x v="0"/>
    <m/>
    <m/>
    <x v="0"/>
    <x v="58"/>
    <x v="10"/>
    <x v="4"/>
    <x v="2"/>
    <x v="2"/>
    <x v="1"/>
    <m/>
  </r>
  <r>
    <x v="0"/>
    <m/>
    <x v="0"/>
    <m/>
    <m/>
    <x v="0"/>
    <x v="59"/>
    <x v="12"/>
    <x v="0"/>
    <x v="3"/>
    <x v="2"/>
    <x v="1"/>
    <m/>
  </r>
  <r>
    <x v="0"/>
    <m/>
    <x v="0"/>
    <m/>
    <m/>
    <x v="0"/>
    <x v="59"/>
    <x v="13"/>
    <x v="0"/>
    <x v="3"/>
    <x v="7"/>
    <x v="1"/>
    <m/>
  </r>
  <r>
    <x v="0"/>
    <m/>
    <x v="0"/>
    <m/>
    <m/>
    <x v="0"/>
    <x v="59"/>
    <x v="10"/>
    <x v="0"/>
    <x v="2"/>
    <x v="2"/>
    <x v="1"/>
    <m/>
  </r>
  <r>
    <x v="0"/>
    <m/>
    <x v="0"/>
    <m/>
    <m/>
    <x v="0"/>
    <x v="59"/>
    <x v="4"/>
    <x v="4"/>
    <x v="3"/>
    <x v="7"/>
    <x v="1"/>
    <m/>
  </r>
  <r>
    <x v="0"/>
    <m/>
    <x v="0"/>
    <m/>
    <m/>
    <x v="0"/>
    <x v="60"/>
    <x v="10"/>
    <x v="6"/>
    <x v="3"/>
    <x v="2"/>
    <x v="1"/>
    <m/>
  </r>
  <r>
    <x v="0"/>
    <m/>
    <x v="0"/>
    <m/>
    <m/>
    <x v="0"/>
    <x v="60"/>
    <x v="10"/>
    <x v="14"/>
    <x v="0"/>
    <x v="2"/>
    <x v="1"/>
    <m/>
  </r>
  <r>
    <x v="0"/>
    <m/>
    <x v="0"/>
    <m/>
    <m/>
    <x v="0"/>
    <x v="60"/>
    <x v="10"/>
    <x v="0"/>
    <x v="3"/>
    <x v="7"/>
    <x v="1"/>
    <m/>
  </r>
  <r>
    <x v="0"/>
    <m/>
    <x v="0"/>
    <m/>
    <m/>
    <x v="0"/>
    <x v="61"/>
    <x v="8"/>
    <x v="0"/>
    <x v="3"/>
    <x v="6"/>
    <x v="2"/>
    <m/>
  </r>
  <r>
    <x v="0"/>
    <m/>
    <x v="0"/>
    <m/>
    <m/>
    <x v="0"/>
    <x v="62"/>
    <x v="12"/>
    <x v="3"/>
    <x v="1"/>
    <x v="3"/>
    <x v="2"/>
    <m/>
  </r>
  <r>
    <x v="0"/>
    <m/>
    <x v="0"/>
    <m/>
    <m/>
    <x v="0"/>
    <x v="63"/>
    <x v="12"/>
    <x v="7"/>
    <x v="0"/>
    <x v="7"/>
    <x v="1"/>
    <m/>
  </r>
  <r>
    <x v="0"/>
    <m/>
    <x v="0"/>
    <m/>
    <m/>
    <x v="0"/>
    <x v="64"/>
    <x v="6"/>
    <x v="7"/>
    <x v="3"/>
    <x v="7"/>
    <x v="1"/>
    <m/>
  </r>
  <r>
    <x v="0"/>
    <m/>
    <x v="0"/>
    <m/>
    <m/>
    <x v="0"/>
    <x v="64"/>
    <x v="3"/>
    <x v="7"/>
    <x v="0"/>
    <x v="7"/>
    <x v="1"/>
    <m/>
  </r>
  <r>
    <x v="0"/>
    <m/>
    <x v="0"/>
    <m/>
    <m/>
    <x v="0"/>
    <x v="65"/>
    <x v="8"/>
    <x v="4"/>
    <x v="3"/>
    <x v="5"/>
    <x v="2"/>
    <m/>
  </r>
  <r>
    <x v="0"/>
    <m/>
    <x v="0"/>
    <m/>
    <m/>
    <x v="0"/>
    <x v="66"/>
    <x v="0"/>
    <x v="8"/>
    <x v="1"/>
    <x v="5"/>
    <x v="2"/>
    <m/>
  </r>
  <r>
    <x v="0"/>
    <m/>
    <x v="0"/>
    <m/>
    <m/>
    <x v="0"/>
    <x v="67"/>
    <x v="8"/>
    <x v="9"/>
    <x v="1"/>
    <x v="7"/>
    <x v="1"/>
    <m/>
  </r>
  <r>
    <x v="0"/>
    <m/>
    <x v="0"/>
    <m/>
    <m/>
    <x v="0"/>
    <x v="68"/>
    <x v="4"/>
    <x v="0"/>
    <x v="0"/>
    <x v="7"/>
    <x v="1"/>
    <m/>
  </r>
  <r>
    <x v="0"/>
    <m/>
    <x v="0"/>
    <m/>
    <m/>
    <x v="0"/>
    <x v="69"/>
    <x v="0"/>
    <x v="0"/>
    <x v="3"/>
    <x v="4"/>
    <x v="0"/>
    <m/>
  </r>
  <r>
    <x v="0"/>
    <m/>
    <x v="0"/>
    <m/>
    <m/>
    <x v="0"/>
    <x v="69"/>
    <x v="12"/>
    <x v="3"/>
    <x v="3"/>
    <x v="7"/>
    <x v="1"/>
    <m/>
  </r>
  <r>
    <x v="0"/>
    <m/>
    <x v="0"/>
    <m/>
    <m/>
    <x v="0"/>
    <x v="70"/>
    <x v="12"/>
    <x v="1"/>
    <x v="3"/>
    <x v="1"/>
    <x v="0"/>
    <m/>
  </r>
  <r>
    <x v="0"/>
    <m/>
    <x v="0"/>
    <m/>
    <m/>
    <x v="0"/>
    <x v="71"/>
    <x v="14"/>
    <x v="0"/>
    <x v="3"/>
    <x v="7"/>
    <x v="1"/>
    <m/>
  </r>
  <r>
    <x v="0"/>
    <m/>
    <x v="0"/>
    <m/>
    <m/>
    <x v="0"/>
    <x v="71"/>
    <x v="14"/>
    <x v="6"/>
    <x v="3"/>
    <x v="7"/>
    <x v="1"/>
    <m/>
  </r>
  <r>
    <x v="0"/>
    <m/>
    <x v="0"/>
    <m/>
    <m/>
    <x v="0"/>
    <x v="72"/>
    <x v="3"/>
    <x v="1"/>
    <x v="3"/>
    <x v="7"/>
    <x v="1"/>
    <m/>
  </r>
  <r>
    <x v="0"/>
    <m/>
    <x v="0"/>
    <m/>
    <m/>
    <x v="0"/>
    <x v="44"/>
    <x v="10"/>
    <x v="0"/>
    <x v="3"/>
    <x v="6"/>
    <x v="2"/>
    <m/>
  </r>
  <r>
    <x v="0"/>
    <m/>
    <x v="0"/>
    <m/>
    <m/>
    <x v="0"/>
    <x v="45"/>
    <x v="7"/>
    <x v="4"/>
    <x v="2"/>
    <x v="6"/>
    <x v="2"/>
    <m/>
  </r>
  <r>
    <x v="0"/>
    <m/>
    <x v="0"/>
    <m/>
    <m/>
    <x v="0"/>
    <x v="73"/>
    <x v="8"/>
    <x v="1"/>
    <x v="3"/>
    <x v="6"/>
    <x v="2"/>
    <m/>
  </r>
  <r>
    <x v="0"/>
    <m/>
    <x v="0"/>
    <m/>
    <m/>
    <x v="0"/>
    <x v="73"/>
    <x v="8"/>
    <x v="1"/>
    <x v="3"/>
    <x v="6"/>
    <x v="2"/>
    <m/>
  </r>
  <r>
    <x v="0"/>
    <m/>
    <x v="0"/>
    <m/>
    <m/>
    <x v="0"/>
    <x v="74"/>
    <x v="9"/>
    <x v="1"/>
    <x v="3"/>
    <x v="6"/>
    <x v="2"/>
    <m/>
  </r>
  <r>
    <x v="0"/>
    <m/>
    <x v="0"/>
    <m/>
    <m/>
    <x v="0"/>
    <x v="47"/>
    <x v="8"/>
    <x v="12"/>
    <x v="0"/>
    <x v="7"/>
    <x v="1"/>
    <m/>
  </r>
  <r>
    <x v="0"/>
    <m/>
    <x v="0"/>
    <m/>
    <m/>
    <x v="0"/>
    <x v="48"/>
    <x v="10"/>
    <x v="0"/>
    <x v="2"/>
    <x v="7"/>
    <x v="1"/>
    <m/>
  </r>
  <r>
    <x v="0"/>
    <m/>
    <x v="0"/>
    <m/>
    <m/>
    <x v="0"/>
    <x v="49"/>
    <x v="13"/>
    <x v="7"/>
    <x v="3"/>
    <x v="7"/>
    <x v="1"/>
    <m/>
  </r>
  <r>
    <x v="0"/>
    <m/>
    <x v="0"/>
    <m/>
    <m/>
    <x v="0"/>
    <x v="75"/>
    <x v="14"/>
    <x v="11"/>
    <x v="3"/>
    <x v="7"/>
    <x v="1"/>
    <m/>
  </r>
  <r>
    <x v="0"/>
    <m/>
    <x v="0"/>
    <m/>
    <m/>
    <x v="0"/>
    <x v="75"/>
    <x v="10"/>
    <x v="11"/>
    <x v="3"/>
    <x v="7"/>
    <x v="1"/>
    <m/>
  </r>
  <r>
    <x v="0"/>
    <m/>
    <x v="0"/>
    <m/>
    <m/>
    <x v="0"/>
    <x v="76"/>
    <x v="11"/>
    <x v="4"/>
    <x v="2"/>
    <x v="2"/>
    <x v="1"/>
    <m/>
  </r>
  <r>
    <x v="0"/>
    <m/>
    <x v="0"/>
    <m/>
    <m/>
    <x v="0"/>
    <x v="77"/>
    <x v="6"/>
    <x v="1"/>
    <x v="0"/>
    <x v="5"/>
    <x v="2"/>
    <m/>
  </r>
  <r>
    <x v="0"/>
    <m/>
    <x v="0"/>
    <m/>
    <m/>
    <x v="0"/>
    <x v="38"/>
    <x v="2"/>
    <x v="14"/>
    <x v="4"/>
    <x v="2"/>
    <x v="1"/>
    <m/>
  </r>
  <r>
    <x v="0"/>
    <m/>
    <x v="0"/>
    <m/>
    <m/>
    <x v="0"/>
    <x v="38"/>
    <x v="3"/>
    <x v="15"/>
    <x v="1"/>
    <x v="9"/>
    <x v="1"/>
    <m/>
  </r>
  <r>
    <x v="1"/>
    <m/>
    <x v="1"/>
    <n v="10"/>
    <s v="CAÑA CHAQUETA"/>
    <x v="1"/>
    <x v="78"/>
    <x v="11"/>
    <x v="7"/>
    <x v="1"/>
    <x v="6"/>
    <x v="2"/>
    <m/>
  </r>
  <r>
    <x v="1"/>
    <m/>
    <x v="1"/>
    <n v="10"/>
    <s v="CAÑA CHAQUETA"/>
    <x v="1"/>
    <x v="78"/>
    <x v="2"/>
    <x v="16"/>
    <x v="2"/>
    <x v="2"/>
    <x v="1"/>
    <m/>
  </r>
  <r>
    <x v="1"/>
    <m/>
    <x v="1"/>
    <n v="10"/>
    <s v="CAÑA CHAQUETA"/>
    <x v="1"/>
    <x v="78"/>
    <x v="5"/>
    <x v="16"/>
    <x v="2"/>
    <x v="6"/>
    <x v="2"/>
    <m/>
  </r>
  <r>
    <x v="1"/>
    <m/>
    <x v="1"/>
    <n v="10"/>
    <s v="CAÑA CHAQUETA"/>
    <x v="1"/>
    <x v="78"/>
    <x v="5"/>
    <x v="8"/>
    <x v="5"/>
    <x v="6"/>
    <x v="2"/>
    <m/>
  </r>
  <r>
    <x v="1"/>
    <m/>
    <x v="1"/>
    <n v="10"/>
    <s v="CAÑA CHAQUETA"/>
    <x v="1"/>
    <x v="0"/>
    <x v="2"/>
    <x v="16"/>
    <x v="2"/>
    <x v="7"/>
    <x v="1"/>
    <m/>
  </r>
  <r>
    <x v="1"/>
    <m/>
    <x v="1"/>
    <n v="10"/>
    <s v="CAÑA CHAQUETA"/>
    <x v="1"/>
    <x v="0"/>
    <x v="2"/>
    <x v="16"/>
    <x v="2"/>
    <x v="7"/>
    <x v="1"/>
    <m/>
  </r>
  <r>
    <x v="1"/>
    <m/>
    <x v="1"/>
    <n v="10"/>
    <s v="CAÑA CHAQUETA"/>
    <x v="1"/>
    <x v="79"/>
    <x v="11"/>
    <x v="16"/>
    <x v="3"/>
    <x v="11"/>
    <x v="1"/>
    <m/>
  </r>
  <r>
    <x v="1"/>
    <m/>
    <x v="1"/>
    <n v="10"/>
    <s v="CAÑA CHAQUETA"/>
    <x v="1"/>
    <x v="79"/>
    <x v="3"/>
    <x v="17"/>
    <x v="2"/>
    <x v="7"/>
    <x v="1"/>
    <m/>
  </r>
  <r>
    <x v="1"/>
    <m/>
    <x v="1"/>
    <n v="10"/>
    <s v="CAÑA CHAQUETA"/>
    <x v="1"/>
    <x v="0"/>
    <x v="5"/>
    <x v="18"/>
    <x v="1"/>
    <x v="5"/>
    <x v="2"/>
    <m/>
  </r>
  <r>
    <x v="1"/>
    <m/>
    <x v="1"/>
    <n v="10"/>
    <s v="CAÑA CHAQUETA"/>
    <x v="1"/>
    <x v="1"/>
    <x v="2"/>
    <x v="7"/>
    <x v="1"/>
    <x v="7"/>
    <x v="1"/>
    <m/>
  </r>
  <r>
    <x v="1"/>
    <m/>
    <x v="1"/>
    <n v="10"/>
    <s v="CAÑA CHAQUETA"/>
    <x v="1"/>
    <x v="2"/>
    <x v="4"/>
    <x v="11"/>
    <x v="5"/>
    <x v="4"/>
    <x v="0"/>
    <m/>
  </r>
  <r>
    <x v="1"/>
    <m/>
    <x v="1"/>
    <n v="10"/>
    <s v="CAÑA CHAQUETA"/>
    <x v="1"/>
    <x v="3"/>
    <x v="0"/>
    <x v="14"/>
    <x v="1"/>
    <x v="9"/>
    <x v="1"/>
    <m/>
  </r>
  <r>
    <x v="1"/>
    <m/>
    <x v="1"/>
    <n v="10"/>
    <s v="CAÑA CHAQUETA"/>
    <x v="1"/>
    <x v="3"/>
    <x v="9"/>
    <x v="7"/>
    <x v="1"/>
    <x v="6"/>
    <x v="1"/>
    <m/>
  </r>
  <r>
    <x v="1"/>
    <m/>
    <x v="1"/>
    <n v="10"/>
    <s v="CAÑA CHAQUETA"/>
    <x v="1"/>
    <x v="4"/>
    <x v="4"/>
    <x v="17"/>
    <x v="3"/>
    <x v="4"/>
    <x v="0"/>
    <m/>
  </r>
  <r>
    <x v="1"/>
    <m/>
    <x v="1"/>
    <n v="10"/>
    <s v="CAÑA CHAQUETA"/>
    <x v="1"/>
    <x v="4"/>
    <x v="11"/>
    <x v="16"/>
    <x v="3"/>
    <x v="4"/>
    <x v="0"/>
    <m/>
  </r>
  <r>
    <x v="1"/>
    <m/>
    <x v="1"/>
    <n v="10"/>
    <s v="CAÑA CHAQUETA"/>
    <x v="1"/>
    <x v="80"/>
    <x v="3"/>
    <x v="6"/>
    <x v="1"/>
    <x v="10"/>
    <x v="2"/>
    <m/>
  </r>
  <r>
    <x v="1"/>
    <m/>
    <x v="1"/>
    <n v="10"/>
    <s v="CAÑA CHAQUETA"/>
    <x v="1"/>
    <x v="80"/>
    <x v="12"/>
    <x v="14"/>
    <x v="1"/>
    <x v="9"/>
    <x v="1"/>
    <m/>
  </r>
  <r>
    <x v="1"/>
    <m/>
    <x v="1"/>
    <n v="10"/>
    <s v="CAÑA CHAQUETA"/>
    <x v="1"/>
    <x v="6"/>
    <x v="11"/>
    <x v="16"/>
    <x v="3"/>
    <x v="4"/>
    <x v="0"/>
    <m/>
  </r>
  <r>
    <x v="1"/>
    <m/>
    <x v="1"/>
    <n v="10"/>
    <s v="CAÑA CHAQUETA"/>
    <x v="1"/>
    <x v="7"/>
    <x v="5"/>
    <x v="17"/>
    <x v="2"/>
    <x v="6"/>
    <x v="2"/>
    <s v="Ocasión en contra"/>
  </r>
  <r>
    <x v="1"/>
    <m/>
    <x v="1"/>
    <n v="10"/>
    <s v="CAÑA CHAQUETA"/>
    <x v="1"/>
    <x v="8"/>
    <x v="5"/>
    <x v="16"/>
    <x v="3"/>
    <x v="5"/>
    <x v="2"/>
    <m/>
  </r>
  <r>
    <x v="1"/>
    <m/>
    <x v="1"/>
    <n v="10"/>
    <s v="CAÑA CHAQUETA"/>
    <x v="1"/>
    <x v="9"/>
    <x v="5"/>
    <x v="17"/>
    <x v="2"/>
    <x v="6"/>
    <x v="2"/>
    <m/>
  </r>
  <r>
    <x v="1"/>
    <m/>
    <x v="1"/>
    <n v="10"/>
    <s v="CAÑA CHAQUETA"/>
    <x v="1"/>
    <x v="10"/>
    <x v="3"/>
    <x v="16"/>
    <x v="3"/>
    <x v="10"/>
    <x v="2"/>
    <m/>
  </r>
  <r>
    <x v="1"/>
    <m/>
    <x v="1"/>
    <n v="10"/>
    <s v="CAÑA CHAQUETA"/>
    <x v="1"/>
    <x v="10"/>
    <x v="4"/>
    <x v="16"/>
    <x v="3"/>
    <x v="10"/>
    <x v="2"/>
    <m/>
  </r>
  <r>
    <x v="1"/>
    <m/>
    <x v="1"/>
    <n v="10"/>
    <s v="CAÑA CHAQUETA"/>
    <x v="1"/>
    <x v="10"/>
    <x v="3"/>
    <x v="7"/>
    <x v="1"/>
    <x v="4"/>
    <x v="0"/>
    <m/>
  </r>
  <r>
    <x v="1"/>
    <m/>
    <x v="1"/>
    <n v="10"/>
    <s v="CAÑA CHAQUETA"/>
    <x v="1"/>
    <x v="10"/>
    <x v="4"/>
    <x v="12"/>
    <x v="1"/>
    <x v="10"/>
    <x v="2"/>
    <m/>
  </r>
  <r>
    <x v="1"/>
    <m/>
    <x v="1"/>
    <n v="10"/>
    <s v="CAÑA CHAQUETA"/>
    <x v="1"/>
    <x v="10"/>
    <x v="2"/>
    <x v="10"/>
    <x v="1"/>
    <x v="7"/>
    <x v="1"/>
    <m/>
  </r>
  <r>
    <x v="1"/>
    <m/>
    <x v="1"/>
    <n v="10"/>
    <s v="CAÑA CHAQUETA"/>
    <x v="1"/>
    <x v="10"/>
    <x v="6"/>
    <x v="7"/>
    <x v="0"/>
    <x v="1"/>
    <x v="0"/>
    <m/>
  </r>
  <r>
    <x v="1"/>
    <m/>
    <x v="1"/>
    <n v="10"/>
    <s v="CAÑA CHAQUETA"/>
    <x v="1"/>
    <x v="12"/>
    <x v="11"/>
    <x v="16"/>
    <x v="3"/>
    <x v="7"/>
    <x v="1"/>
    <m/>
  </r>
  <r>
    <x v="1"/>
    <m/>
    <x v="1"/>
    <n v="10"/>
    <s v="CAÑA CHAQUETA"/>
    <x v="1"/>
    <x v="12"/>
    <x v="12"/>
    <x v="6"/>
    <x v="3"/>
    <x v="7"/>
    <x v="1"/>
    <m/>
  </r>
  <r>
    <x v="1"/>
    <m/>
    <x v="1"/>
    <n v="10"/>
    <s v="CAÑA CHAQUETA"/>
    <x v="1"/>
    <x v="12"/>
    <x v="12"/>
    <x v="11"/>
    <x v="5"/>
    <x v="7"/>
    <x v="1"/>
    <m/>
  </r>
  <r>
    <x v="1"/>
    <m/>
    <x v="1"/>
    <n v="10"/>
    <s v="CAÑA CHAQUETA"/>
    <x v="1"/>
    <x v="13"/>
    <x v="11"/>
    <x v="18"/>
    <x v="0"/>
    <x v="7"/>
    <x v="1"/>
    <m/>
  </r>
  <r>
    <x v="1"/>
    <m/>
    <x v="1"/>
    <n v="10"/>
    <s v="CAÑA CHAQUETA"/>
    <x v="1"/>
    <x v="14"/>
    <x v="11"/>
    <x v="16"/>
    <x v="3"/>
    <x v="6"/>
    <x v="2"/>
    <m/>
  </r>
  <r>
    <x v="1"/>
    <m/>
    <x v="1"/>
    <n v="10"/>
    <s v="CAÑA CHAQUETA"/>
    <x v="1"/>
    <x v="14"/>
    <x v="11"/>
    <x v="8"/>
    <x v="5"/>
    <x v="6"/>
    <x v="2"/>
    <m/>
  </r>
  <r>
    <x v="1"/>
    <m/>
    <x v="1"/>
    <n v="10"/>
    <s v="CAÑA CHAQUETA"/>
    <x v="1"/>
    <x v="15"/>
    <x v="2"/>
    <x v="1"/>
    <x v="3"/>
    <x v="6"/>
    <x v="2"/>
    <m/>
  </r>
  <r>
    <x v="1"/>
    <m/>
    <x v="1"/>
    <n v="10"/>
    <s v="CAÑA CHAQUETA"/>
    <x v="1"/>
    <x v="16"/>
    <x v="11"/>
    <x v="16"/>
    <x v="3"/>
    <x v="6"/>
    <x v="2"/>
    <m/>
  </r>
  <r>
    <x v="1"/>
    <m/>
    <x v="1"/>
    <n v="10"/>
    <s v="CAÑA CHAQUETA"/>
    <x v="1"/>
    <x v="81"/>
    <x v="3"/>
    <x v="16"/>
    <x v="3"/>
    <x v="6"/>
    <x v="2"/>
    <m/>
  </r>
  <r>
    <x v="1"/>
    <m/>
    <x v="1"/>
    <n v="10"/>
    <s v="CAÑA CHAQUETA"/>
    <x v="1"/>
    <x v="81"/>
    <x v="4"/>
    <x v="16"/>
    <x v="3"/>
    <x v="4"/>
    <x v="0"/>
    <m/>
  </r>
  <r>
    <x v="1"/>
    <m/>
    <x v="1"/>
    <n v="10"/>
    <s v="CAÑA CHAQUETA"/>
    <x v="1"/>
    <x v="17"/>
    <x v="11"/>
    <x v="16"/>
    <x v="3"/>
    <x v="6"/>
    <x v="2"/>
    <m/>
  </r>
  <r>
    <x v="1"/>
    <m/>
    <x v="1"/>
    <n v="10"/>
    <s v="CAÑA CHAQUETA"/>
    <x v="1"/>
    <x v="18"/>
    <x v="11"/>
    <x v="18"/>
    <x v="0"/>
    <x v="6"/>
    <x v="2"/>
    <m/>
  </r>
  <r>
    <x v="1"/>
    <m/>
    <x v="1"/>
    <n v="10"/>
    <s v="CAÑA CHAQUETA"/>
    <x v="1"/>
    <x v="18"/>
    <x v="12"/>
    <x v="2"/>
    <x v="0"/>
    <x v="6"/>
    <x v="2"/>
    <s v="Fallo en marca"/>
  </r>
  <r>
    <x v="1"/>
    <m/>
    <x v="1"/>
    <n v="10"/>
    <s v="CAÑA CHAQUETA"/>
    <x v="1"/>
    <x v="18"/>
    <x v="6"/>
    <x v="7"/>
    <x v="1"/>
    <x v="7"/>
    <x v="1"/>
    <m/>
  </r>
  <r>
    <x v="1"/>
    <m/>
    <x v="1"/>
    <n v="10"/>
    <s v="CAÑA CHAQUETA"/>
    <x v="1"/>
    <x v="19"/>
    <x v="10"/>
    <x v="6"/>
    <x v="0"/>
    <x v="7"/>
    <x v="1"/>
    <m/>
  </r>
  <r>
    <x v="1"/>
    <m/>
    <x v="1"/>
    <n v="10"/>
    <s v="CAÑA CHAQUETA"/>
    <x v="1"/>
    <x v="20"/>
    <x v="2"/>
    <x v="14"/>
    <x v="0"/>
    <x v="7"/>
    <x v="1"/>
    <m/>
  </r>
  <r>
    <x v="1"/>
    <m/>
    <x v="1"/>
    <n v="10"/>
    <s v="CAÑA CHAQUETA"/>
    <x v="1"/>
    <x v="20"/>
    <x v="4"/>
    <x v="2"/>
    <x v="1"/>
    <x v="7"/>
    <x v="1"/>
    <m/>
  </r>
  <r>
    <x v="1"/>
    <m/>
    <x v="1"/>
    <n v="10"/>
    <s v="CAÑA CHAQUETA"/>
    <x v="1"/>
    <x v="21"/>
    <x v="9"/>
    <x v="5"/>
    <x v="1"/>
    <x v="0"/>
    <x v="0"/>
    <m/>
  </r>
  <r>
    <x v="1"/>
    <m/>
    <x v="1"/>
    <n v="10"/>
    <s v="CAÑA CHAQUETA"/>
    <x v="1"/>
    <x v="24"/>
    <x v="2"/>
    <x v="17"/>
    <x v="2"/>
    <x v="7"/>
    <x v="1"/>
    <m/>
  </r>
  <r>
    <x v="1"/>
    <m/>
    <x v="1"/>
    <n v="10"/>
    <s v="CAÑA CHAQUETA"/>
    <x v="1"/>
    <x v="82"/>
    <x v="11"/>
    <x v="16"/>
    <x v="3"/>
    <x v="6"/>
    <x v="2"/>
    <m/>
  </r>
  <r>
    <x v="1"/>
    <m/>
    <x v="1"/>
    <n v="10"/>
    <s v="CAÑA CHAQUETA"/>
    <x v="1"/>
    <x v="82"/>
    <x v="0"/>
    <x v="7"/>
    <x v="1"/>
    <x v="6"/>
    <x v="2"/>
    <m/>
  </r>
  <r>
    <x v="1"/>
    <m/>
    <x v="1"/>
    <n v="10"/>
    <s v="CAÑA CHAQUETA"/>
    <x v="1"/>
    <x v="82"/>
    <x v="0"/>
    <x v="2"/>
    <x v="0"/>
    <x v="0"/>
    <x v="0"/>
    <m/>
  </r>
  <r>
    <x v="1"/>
    <m/>
    <x v="1"/>
    <n v="10"/>
    <s v="CAÑA CHAQUETA"/>
    <x v="1"/>
    <x v="22"/>
    <x v="6"/>
    <x v="7"/>
    <x v="1"/>
    <x v="1"/>
    <x v="0"/>
    <m/>
  </r>
  <r>
    <x v="1"/>
    <m/>
    <x v="1"/>
    <n v="10"/>
    <s v="CAÑA CHAQUETA"/>
    <x v="1"/>
    <x v="23"/>
    <x v="4"/>
    <x v="9"/>
    <x v="5"/>
    <x v="1"/>
    <x v="0"/>
    <s v="Le cogen la espalda y provoca córner"/>
  </r>
  <r>
    <x v="1"/>
    <m/>
    <x v="1"/>
    <n v="10"/>
    <s v="CAÑA CHAQUETA"/>
    <x v="1"/>
    <x v="23"/>
    <x v="0"/>
    <x v="1"/>
    <x v="1"/>
    <x v="11"/>
    <x v="1"/>
    <s v="Salva gol córner"/>
  </r>
  <r>
    <x v="1"/>
    <m/>
    <x v="1"/>
    <n v="10"/>
    <s v="CAÑA CHAQUETA"/>
    <x v="1"/>
    <x v="26"/>
    <x v="12"/>
    <x v="8"/>
    <x v="5"/>
    <x v="11"/>
    <x v="1"/>
    <s v="Amarilla"/>
  </r>
  <r>
    <x v="1"/>
    <m/>
    <x v="1"/>
    <n v="10"/>
    <s v="CAÑA CHAQUETA"/>
    <x v="1"/>
    <x v="26"/>
    <x v="3"/>
    <x v="17"/>
    <x v="3"/>
    <x v="5"/>
    <x v="1"/>
    <s v="Conducción "/>
  </r>
  <r>
    <x v="1"/>
    <m/>
    <x v="1"/>
    <n v="10"/>
    <s v="CAÑA CHAQUETA"/>
    <x v="1"/>
    <x v="83"/>
    <x v="6"/>
    <x v="7"/>
    <x v="1"/>
    <x v="7"/>
    <x v="1"/>
    <m/>
  </r>
  <r>
    <x v="1"/>
    <m/>
    <x v="1"/>
    <n v="10"/>
    <s v="CAÑA CHAQUETA"/>
    <x v="1"/>
    <x v="83"/>
    <x v="6"/>
    <x v="2"/>
    <x v="5"/>
    <x v="7"/>
    <x v="1"/>
    <m/>
  </r>
  <r>
    <x v="1"/>
    <m/>
    <x v="1"/>
    <n v="10"/>
    <s v="CAÑA CHAQUETA"/>
    <x v="1"/>
    <x v="83"/>
    <x v="9"/>
    <x v="16"/>
    <x v="3"/>
    <x v="0"/>
    <x v="0"/>
    <m/>
  </r>
  <r>
    <x v="1"/>
    <m/>
    <x v="1"/>
    <n v="10"/>
    <s v="CAÑA CHAQUETA"/>
    <x v="1"/>
    <x v="84"/>
    <x v="3"/>
    <x v="19"/>
    <x v="1"/>
    <x v="7"/>
    <x v="1"/>
    <s v="Córner"/>
  </r>
  <r>
    <x v="1"/>
    <m/>
    <x v="1"/>
    <n v="10"/>
    <s v="CAÑA CHAQUETA"/>
    <x v="1"/>
    <x v="84"/>
    <x v="5"/>
    <x v="8"/>
    <x v="1"/>
    <x v="6"/>
    <x v="2"/>
    <s v="Amarilla"/>
  </r>
  <r>
    <x v="1"/>
    <m/>
    <x v="1"/>
    <n v="10"/>
    <s v="CAÑA CHAQUETA"/>
    <x v="1"/>
    <x v="30"/>
    <x v="11"/>
    <x v="16"/>
    <x v="1"/>
    <x v="1"/>
    <x v="0"/>
    <m/>
  </r>
  <r>
    <x v="1"/>
    <m/>
    <x v="1"/>
    <n v="10"/>
    <s v="CAÑA CHAQUETA"/>
    <x v="1"/>
    <x v="30"/>
    <x v="5"/>
    <x v="2"/>
    <x v="0"/>
    <x v="5"/>
    <x v="2"/>
    <m/>
  </r>
  <r>
    <x v="1"/>
    <m/>
    <x v="1"/>
    <n v="10"/>
    <s v="CAÑA CHAQUETA"/>
    <x v="1"/>
    <x v="32"/>
    <x v="10"/>
    <x v="16"/>
    <x v="2"/>
    <x v="2"/>
    <x v="1"/>
    <m/>
  </r>
  <r>
    <x v="1"/>
    <m/>
    <x v="1"/>
    <n v="10"/>
    <s v="CAÑA CHAQUETA"/>
    <x v="1"/>
    <x v="32"/>
    <x v="3"/>
    <x v="18"/>
    <x v="1"/>
    <x v="7"/>
    <x v="1"/>
    <m/>
  </r>
  <r>
    <x v="1"/>
    <m/>
    <x v="1"/>
    <n v="10"/>
    <s v="CAÑA CHAQUETA"/>
    <x v="1"/>
    <x v="32"/>
    <x v="5"/>
    <x v="2"/>
    <x v="1"/>
    <x v="5"/>
    <x v="2"/>
    <m/>
  </r>
  <r>
    <x v="1"/>
    <m/>
    <x v="1"/>
    <n v="10"/>
    <s v="CAÑA CHAQUETA"/>
    <x v="1"/>
    <x v="32"/>
    <x v="6"/>
    <x v="10"/>
    <x v="0"/>
    <x v="7"/>
    <x v="1"/>
    <m/>
  </r>
  <r>
    <x v="1"/>
    <m/>
    <x v="1"/>
    <n v="10"/>
    <s v="CAÑA CHAQUETA"/>
    <x v="1"/>
    <x v="33"/>
    <x v="2"/>
    <x v="6"/>
    <x v="1"/>
    <x v="7"/>
    <x v="1"/>
    <m/>
  </r>
  <r>
    <x v="1"/>
    <m/>
    <x v="1"/>
    <n v="10"/>
    <s v="CAÑA CHAQUETA"/>
    <x v="1"/>
    <x v="33"/>
    <x v="2"/>
    <x v="10"/>
    <x v="0"/>
    <x v="7"/>
    <x v="1"/>
    <m/>
  </r>
  <r>
    <x v="1"/>
    <m/>
    <x v="1"/>
    <n v="10"/>
    <s v="CAÑA CHAQUETA"/>
    <x v="1"/>
    <x v="35"/>
    <x v="6"/>
    <x v="1"/>
    <x v="0"/>
    <x v="1"/>
    <x v="0"/>
    <m/>
  </r>
  <r>
    <x v="1"/>
    <m/>
    <x v="1"/>
    <n v="10"/>
    <s v="CAÑA CHAQUETA"/>
    <x v="1"/>
    <x v="35"/>
    <x v="11"/>
    <x v="9"/>
    <x v="1"/>
    <x v="6"/>
    <x v="2"/>
    <m/>
  </r>
  <r>
    <x v="1"/>
    <m/>
    <x v="1"/>
    <n v="10"/>
    <s v="CAÑA CHAQUETA"/>
    <x v="1"/>
    <x v="36"/>
    <x v="11"/>
    <x v="18"/>
    <x v="5"/>
    <x v="7"/>
    <x v="1"/>
    <m/>
  </r>
  <r>
    <x v="1"/>
    <m/>
    <x v="1"/>
    <n v="10"/>
    <s v="CAÑA CHAQUETA"/>
    <x v="1"/>
    <x v="37"/>
    <x v="4"/>
    <x v="16"/>
    <x v="5"/>
    <x v="7"/>
    <x v="1"/>
    <m/>
  </r>
  <r>
    <x v="1"/>
    <m/>
    <x v="1"/>
    <n v="10"/>
    <s v="CAÑA CHAQUETA"/>
    <x v="1"/>
    <x v="38"/>
    <x v="2"/>
    <x v="6"/>
    <x v="3"/>
    <x v="7"/>
    <x v="1"/>
    <m/>
  </r>
  <r>
    <x v="1"/>
    <m/>
    <x v="1"/>
    <n v="10"/>
    <s v="CAÑA CHAQUETA"/>
    <x v="1"/>
    <x v="38"/>
    <x v="4"/>
    <x v="19"/>
    <x v="5"/>
    <x v="7"/>
    <x v="1"/>
    <m/>
  </r>
  <r>
    <x v="1"/>
    <m/>
    <x v="1"/>
    <n v="10"/>
    <s v="CAÑA CHAQUETA"/>
    <x v="1"/>
    <x v="38"/>
    <x v="9"/>
    <x v="14"/>
    <x v="1"/>
    <x v="2"/>
    <x v="1"/>
    <m/>
  </r>
  <r>
    <x v="1"/>
    <m/>
    <x v="1"/>
    <n v="10"/>
    <s v="CAÑA CHAQUETA"/>
    <x v="1"/>
    <x v="39"/>
    <x v="10"/>
    <x v="6"/>
    <x v="5"/>
    <x v="9"/>
    <x v="1"/>
    <m/>
  </r>
  <r>
    <x v="1"/>
    <m/>
    <x v="1"/>
    <n v="10"/>
    <s v="CAÑA CHAQUETA"/>
    <x v="1"/>
    <x v="39"/>
    <x v="10"/>
    <x v="14"/>
    <x v="4"/>
    <x v="2"/>
    <x v="1"/>
    <m/>
  </r>
  <r>
    <x v="1"/>
    <m/>
    <x v="1"/>
    <n v="10"/>
    <s v="CAÑA CHAQUETA"/>
    <x v="1"/>
    <x v="39"/>
    <x v="3"/>
    <x v="18"/>
    <x v="5"/>
    <x v="5"/>
    <x v="2"/>
    <s v="Conducción "/>
  </r>
  <r>
    <x v="1"/>
    <m/>
    <x v="1"/>
    <n v="10"/>
    <s v="CAÑA CHAQUETA"/>
    <x v="1"/>
    <x v="78"/>
    <x v="12"/>
    <x v="17"/>
    <x v="3"/>
    <x v="5"/>
    <x v="1"/>
    <s v="Conducción "/>
  </r>
  <r>
    <x v="1"/>
    <m/>
    <x v="1"/>
    <n v="10"/>
    <s v="CAÑA CHAQUETA"/>
    <x v="1"/>
    <x v="78"/>
    <x v="8"/>
    <x v="17"/>
    <x v="3"/>
    <x v="3"/>
    <x v="2"/>
    <m/>
  </r>
  <r>
    <x v="1"/>
    <m/>
    <x v="1"/>
    <n v="10"/>
    <s v="CAÑA CHAQUETA"/>
    <x v="1"/>
    <x v="78"/>
    <x v="8"/>
    <x v="17"/>
    <x v="3"/>
    <x v="5"/>
    <x v="1"/>
    <m/>
  </r>
  <r>
    <x v="1"/>
    <m/>
    <x v="1"/>
    <n v="10"/>
    <s v="CAÑA CHAQUETA"/>
    <x v="1"/>
    <x v="1"/>
    <x v="8"/>
    <x v="14"/>
    <x v="4"/>
    <x v="9"/>
    <x v="1"/>
    <m/>
  </r>
  <r>
    <x v="1"/>
    <m/>
    <x v="1"/>
    <n v="10"/>
    <s v="CAÑA CHAQUETA"/>
    <x v="1"/>
    <x v="1"/>
    <x v="12"/>
    <x v="7"/>
    <x v="0"/>
    <x v="5"/>
    <x v="1"/>
    <m/>
  </r>
  <r>
    <x v="1"/>
    <m/>
    <x v="1"/>
    <n v="10"/>
    <s v="CAÑA CHAQUETA"/>
    <x v="1"/>
    <x v="1"/>
    <x v="10"/>
    <x v="3"/>
    <x v="1"/>
    <x v="2"/>
    <x v="1"/>
    <m/>
  </r>
  <r>
    <x v="1"/>
    <m/>
    <x v="1"/>
    <n v="10"/>
    <s v="CAÑA CHAQUETA"/>
    <x v="1"/>
    <x v="1"/>
    <x v="11"/>
    <x v="12"/>
    <x v="1"/>
    <x v="11"/>
    <x v="1"/>
    <s v="Fuera juego"/>
  </r>
  <r>
    <x v="1"/>
    <m/>
    <x v="1"/>
    <n v="10"/>
    <s v="CAÑA CHAQUETA"/>
    <x v="1"/>
    <x v="3"/>
    <x v="12"/>
    <x v="10"/>
    <x v="5"/>
    <x v="11"/>
    <x v="1"/>
    <m/>
  </r>
  <r>
    <x v="1"/>
    <m/>
    <x v="1"/>
    <n v="10"/>
    <s v="CAÑA CHAQUETA"/>
    <x v="1"/>
    <x v="3"/>
    <x v="2"/>
    <x v="3"/>
    <x v="5"/>
    <x v="11"/>
    <x v="1"/>
    <m/>
  </r>
  <r>
    <x v="1"/>
    <m/>
    <x v="1"/>
    <n v="10"/>
    <s v="CAÑA CHAQUETA"/>
    <x v="1"/>
    <x v="3"/>
    <x v="10"/>
    <x v="17"/>
    <x v="2"/>
    <x v="9"/>
    <x v="1"/>
    <m/>
  </r>
  <r>
    <x v="1"/>
    <m/>
    <x v="1"/>
    <n v="10"/>
    <s v="CAÑA CHAQUETA"/>
    <x v="1"/>
    <x v="3"/>
    <x v="10"/>
    <x v="14"/>
    <x v="5"/>
    <x v="11"/>
    <x v="1"/>
    <s v="Córner"/>
  </r>
  <r>
    <x v="1"/>
    <m/>
    <x v="1"/>
    <n v="10"/>
    <s v="CAÑA CHAQUETA"/>
    <x v="1"/>
    <x v="5"/>
    <x v="12"/>
    <x v="19"/>
    <x v="1"/>
    <x v="2"/>
    <x v="1"/>
    <m/>
  </r>
  <r>
    <x v="1"/>
    <m/>
    <x v="1"/>
    <n v="10"/>
    <s v="CAÑA CHAQUETA"/>
    <x v="1"/>
    <x v="5"/>
    <x v="9"/>
    <x v="2"/>
    <x v="0"/>
    <x v="11"/>
    <x v="1"/>
    <s v="Pérdida de marca"/>
  </r>
  <r>
    <x v="1"/>
    <m/>
    <x v="1"/>
    <n v="10"/>
    <s v="CAÑA CHAQUETA"/>
    <x v="1"/>
    <x v="80"/>
    <x v="0"/>
    <x v="7"/>
    <x v="0"/>
    <x v="5"/>
    <x v="2"/>
    <m/>
  </r>
  <r>
    <x v="1"/>
    <m/>
    <x v="1"/>
    <n v="10"/>
    <s v="CAÑA CHAQUETA"/>
    <x v="1"/>
    <x v="79"/>
    <x v="12"/>
    <x v="7"/>
    <x v="1"/>
    <x v="5"/>
    <x v="2"/>
    <m/>
  </r>
  <r>
    <x v="1"/>
    <m/>
    <x v="1"/>
    <n v="10"/>
    <s v="CAÑA CHAQUETA"/>
    <x v="1"/>
    <x v="79"/>
    <x v="10"/>
    <x v="12"/>
    <x v="1"/>
    <x v="7"/>
    <x v="1"/>
    <m/>
  </r>
  <r>
    <x v="1"/>
    <m/>
    <x v="1"/>
    <n v="10"/>
    <s v="CAÑA CHAQUETA"/>
    <x v="1"/>
    <x v="6"/>
    <x v="12"/>
    <x v="12"/>
    <x v="0"/>
    <x v="1"/>
    <x v="0"/>
    <m/>
  </r>
  <r>
    <x v="1"/>
    <m/>
    <x v="1"/>
    <n v="10"/>
    <s v="CAÑA CHAQUETA"/>
    <x v="1"/>
    <x v="7"/>
    <x v="11"/>
    <x v="16"/>
    <x v="3"/>
    <x v="1"/>
    <x v="0"/>
    <m/>
  </r>
  <r>
    <x v="1"/>
    <m/>
    <x v="1"/>
    <n v="10"/>
    <s v="CAÑA CHAQUETA"/>
    <x v="1"/>
    <x v="8"/>
    <x v="11"/>
    <x v="7"/>
    <x v="1"/>
    <x v="1"/>
    <x v="0"/>
    <m/>
  </r>
  <r>
    <x v="1"/>
    <m/>
    <x v="1"/>
    <n v="10"/>
    <s v="CAÑA CHAQUETA"/>
    <x v="1"/>
    <x v="8"/>
    <x v="6"/>
    <x v="7"/>
    <x v="1"/>
    <x v="1"/>
    <x v="0"/>
    <m/>
  </r>
  <r>
    <x v="1"/>
    <m/>
    <x v="1"/>
    <n v="10"/>
    <s v="CAÑA CHAQUETA"/>
    <x v="1"/>
    <x v="9"/>
    <x v="12"/>
    <x v="19"/>
    <x v="1"/>
    <x v="2"/>
    <x v="1"/>
    <m/>
  </r>
  <r>
    <x v="1"/>
    <m/>
    <x v="1"/>
    <n v="10"/>
    <s v="CAÑA CHAQUETA"/>
    <x v="1"/>
    <x v="9"/>
    <x v="10"/>
    <x v="14"/>
    <x v="0"/>
    <x v="2"/>
    <x v="1"/>
    <m/>
  </r>
  <r>
    <x v="1"/>
    <m/>
    <x v="1"/>
    <n v="10"/>
    <s v="CAÑA CHAQUETA"/>
    <x v="1"/>
    <x v="10"/>
    <x v="15"/>
    <x v="8"/>
    <x v="1"/>
    <x v="7"/>
    <x v="1"/>
    <m/>
  </r>
  <r>
    <x v="1"/>
    <m/>
    <x v="1"/>
    <n v="10"/>
    <s v="CAÑA CHAQUETA"/>
    <x v="1"/>
    <x v="8"/>
    <x v="15"/>
    <x v="12"/>
    <x v="1"/>
    <x v="5"/>
    <x v="2"/>
    <m/>
  </r>
  <r>
    <x v="1"/>
    <m/>
    <x v="1"/>
    <n v="10"/>
    <s v="CAÑA CHAQUETA"/>
    <x v="1"/>
    <x v="10"/>
    <x v="2"/>
    <x v="16"/>
    <x v="3"/>
    <x v="7"/>
    <x v="1"/>
    <m/>
  </r>
  <r>
    <x v="1"/>
    <m/>
    <x v="1"/>
    <n v="10"/>
    <s v="CAÑA CHAQUETA"/>
    <x v="1"/>
    <x v="11"/>
    <x v="9"/>
    <x v="1"/>
    <x v="3"/>
    <x v="6"/>
    <x v="2"/>
    <m/>
  </r>
  <r>
    <x v="1"/>
    <m/>
    <x v="1"/>
    <n v="10"/>
    <s v="CAÑA CHAQUETA"/>
    <x v="1"/>
    <x v="12"/>
    <x v="12"/>
    <x v="12"/>
    <x v="0"/>
    <x v="7"/>
    <x v="1"/>
    <m/>
  </r>
  <r>
    <x v="1"/>
    <m/>
    <x v="1"/>
    <n v="10"/>
    <s v="CAÑA CHAQUETA"/>
    <x v="1"/>
    <x v="11"/>
    <x v="10"/>
    <x v="19"/>
    <x v="1"/>
    <x v="2"/>
    <x v="1"/>
    <m/>
  </r>
  <r>
    <x v="1"/>
    <m/>
    <x v="1"/>
    <n v="10"/>
    <s v="CAÑA CHAQUETA"/>
    <x v="1"/>
    <x v="12"/>
    <x v="12"/>
    <x v="1"/>
    <x v="3"/>
    <x v="5"/>
    <x v="2"/>
    <m/>
  </r>
  <r>
    <x v="1"/>
    <m/>
    <x v="1"/>
    <n v="10"/>
    <s v="CAÑA CHAQUETA"/>
    <x v="1"/>
    <x v="12"/>
    <x v="12"/>
    <x v="12"/>
    <x v="1"/>
    <x v="5"/>
    <x v="2"/>
    <m/>
  </r>
  <r>
    <x v="1"/>
    <m/>
    <x v="1"/>
    <n v="10"/>
    <s v="CAÑA CHAQUETA"/>
    <x v="1"/>
    <x v="12"/>
    <x v="10"/>
    <x v="6"/>
    <x v="0"/>
    <x v="2"/>
    <x v="1"/>
    <m/>
  </r>
  <r>
    <x v="1"/>
    <m/>
    <x v="1"/>
    <n v="10"/>
    <s v="CAÑA CHAQUETA"/>
    <x v="1"/>
    <x v="14"/>
    <x v="4"/>
    <x v="2"/>
    <x v="1"/>
    <x v="5"/>
    <x v="2"/>
    <m/>
  </r>
  <r>
    <x v="1"/>
    <m/>
    <x v="1"/>
    <n v="10"/>
    <s v="CAÑA CHAQUETA"/>
    <x v="1"/>
    <x v="14"/>
    <x v="11"/>
    <x v="16"/>
    <x v="3"/>
    <x v="6"/>
    <x v="2"/>
    <m/>
  </r>
  <r>
    <x v="1"/>
    <m/>
    <x v="1"/>
    <n v="10"/>
    <s v="CAÑA CHAQUETA"/>
    <x v="1"/>
    <x v="15"/>
    <x v="10"/>
    <x v="1"/>
    <x v="3"/>
    <x v="7"/>
    <x v="1"/>
    <m/>
  </r>
  <r>
    <x v="1"/>
    <m/>
    <x v="1"/>
    <n v="10"/>
    <s v="CAÑA CHAQUETA"/>
    <x v="1"/>
    <x v="16"/>
    <x v="0"/>
    <x v="3"/>
    <x v="3"/>
    <x v="2"/>
    <x v="1"/>
    <m/>
  </r>
  <r>
    <x v="1"/>
    <m/>
    <x v="1"/>
    <n v="10"/>
    <s v="CAÑA CHAQUETA"/>
    <x v="1"/>
    <x v="16"/>
    <x v="0"/>
    <x v="14"/>
    <x v="4"/>
    <x v="2"/>
    <x v="1"/>
    <m/>
  </r>
  <r>
    <x v="1"/>
    <m/>
    <x v="1"/>
    <n v="10"/>
    <s v="CAÑA CHAQUETA"/>
    <x v="1"/>
    <x v="81"/>
    <x v="8"/>
    <x v="1"/>
    <x v="3"/>
    <x v="4"/>
    <x v="0"/>
    <s v="Salva contra"/>
  </r>
  <r>
    <x v="1"/>
    <m/>
    <x v="1"/>
    <n v="10"/>
    <s v="CAÑA CHAQUETA"/>
    <x v="1"/>
    <x v="17"/>
    <x v="4"/>
    <x v="8"/>
    <x v="1"/>
    <x v="4"/>
    <x v="0"/>
    <m/>
  </r>
  <r>
    <x v="1"/>
    <m/>
    <x v="1"/>
    <n v="10"/>
    <s v="CAÑA CHAQUETA"/>
    <x v="1"/>
    <x v="19"/>
    <x v="2"/>
    <x v="2"/>
    <x v="0"/>
    <x v="5"/>
    <x v="2"/>
    <m/>
  </r>
  <r>
    <x v="1"/>
    <m/>
    <x v="1"/>
    <n v="10"/>
    <s v="CAÑA CHAQUETA"/>
    <x v="1"/>
    <x v="19"/>
    <x v="6"/>
    <x v="9"/>
    <x v="0"/>
    <x v="1"/>
    <x v="0"/>
    <m/>
  </r>
  <r>
    <x v="1"/>
    <m/>
    <x v="1"/>
    <n v="10"/>
    <s v="CAÑA CHAQUETA"/>
    <x v="1"/>
    <x v="21"/>
    <x v="0"/>
    <x v="8"/>
    <x v="1"/>
    <x v="1"/>
    <x v="0"/>
    <s v="Roja"/>
  </r>
  <r>
    <x v="1"/>
    <m/>
    <x v="1"/>
    <n v="10"/>
    <s v="CAÑA CHAQUETA"/>
    <x v="1"/>
    <x v="82"/>
    <x v="11"/>
    <x v="16"/>
    <x v="5"/>
    <x v="6"/>
    <x v="2"/>
    <m/>
  </r>
  <r>
    <x v="1"/>
    <m/>
    <x v="1"/>
    <n v="10"/>
    <s v="CAÑA CHAQUETA"/>
    <x v="1"/>
    <x v="82"/>
    <x v="15"/>
    <x v="17"/>
    <x v="3"/>
    <x v="5"/>
    <x v="1"/>
    <m/>
  </r>
  <r>
    <x v="1"/>
    <m/>
    <x v="1"/>
    <n v="10"/>
    <s v="CAÑA CHAQUETA"/>
    <x v="1"/>
    <x v="22"/>
    <x v="12"/>
    <x v="18"/>
    <x v="1"/>
    <x v="5"/>
    <x v="2"/>
    <m/>
  </r>
  <r>
    <x v="1"/>
    <m/>
    <x v="1"/>
    <n v="10"/>
    <s v="CAÑA CHAQUETA"/>
    <x v="1"/>
    <x v="23"/>
    <x v="2"/>
    <x v="9"/>
    <x v="5"/>
    <x v="7"/>
    <x v="1"/>
    <m/>
  </r>
  <r>
    <x v="1"/>
    <m/>
    <x v="1"/>
    <n v="10"/>
    <s v="CAÑA CHAQUETA"/>
    <x v="1"/>
    <x v="23"/>
    <x v="4"/>
    <x v="16"/>
    <x v="1"/>
    <x v="4"/>
    <x v="0"/>
    <m/>
  </r>
  <r>
    <x v="1"/>
    <m/>
    <x v="1"/>
    <n v="10"/>
    <s v="CAÑA CHAQUETA"/>
    <x v="1"/>
    <x v="23"/>
    <x v="2"/>
    <x v="6"/>
    <x v="0"/>
    <x v="7"/>
    <x v="1"/>
    <m/>
  </r>
  <r>
    <x v="1"/>
    <m/>
    <x v="1"/>
    <n v="10"/>
    <s v="CAÑA CHAQUETA"/>
    <x v="1"/>
    <x v="85"/>
    <x v="8"/>
    <x v="3"/>
    <x v="3"/>
    <x v="2"/>
    <x v="1"/>
    <s v="Córner"/>
  </r>
  <r>
    <x v="1"/>
    <m/>
    <x v="1"/>
    <n v="10"/>
    <s v="CAÑA CHAQUETA"/>
    <x v="1"/>
    <x v="25"/>
    <x v="11"/>
    <x v="1"/>
    <x v="2"/>
    <x v="11"/>
    <x v="1"/>
    <s v="Paralelo anticipación "/>
  </r>
  <r>
    <x v="1"/>
    <m/>
    <x v="1"/>
    <n v="10"/>
    <s v="CAÑA CHAQUETA"/>
    <x v="1"/>
    <x v="25"/>
    <x v="9"/>
    <x v="1"/>
    <x v="1"/>
    <x v="11"/>
    <x v="1"/>
    <s v="Salva ocasión "/>
  </r>
  <r>
    <x v="1"/>
    <m/>
    <x v="1"/>
    <n v="10"/>
    <s v="CAÑA CHAQUETA"/>
    <x v="1"/>
    <x v="83"/>
    <x v="13"/>
    <x v="16"/>
    <x v="2"/>
    <x v="6"/>
    <x v="2"/>
    <m/>
  </r>
  <r>
    <x v="1"/>
    <m/>
    <x v="1"/>
    <n v="10"/>
    <s v="CAÑA CHAQUETA"/>
    <x v="1"/>
    <x v="29"/>
    <x v="15"/>
    <x v="11"/>
    <x v="1"/>
    <x v="6"/>
    <x v="2"/>
    <s v="Roja"/>
  </r>
  <r>
    <x v="1"/>
    <m/>
    <x v="1"/>
    <n v="10"/>
    <s v="CAÑA CHAQUETA"/>
    <x v="1"/>
    <x v="30"/>
    <x v="8"/>
    <x v="16"/>
    <x v="1"/>
    <x v="7"/>
    <x v="1"/>
    <s v="2j"/>
  </r>
  <r>
    <x v="1"/>
    <m/>
    <x v="1"/>
    <n v="10"/>
    <s v="CAÑA CHAQUETA"/>
    <x v="1"/>
    <x v="30"/>
    <x v="8"/>
    <x v="7"/>
    <x v="1"/>
    <x v="7"/>
    <x v="1"/>
    <s v="Conducción "/>
  </r>
  <r>
    <x v="1"/>
    <m/>
    <x v="1"/>
    <n v="10"/>
    <s v="CAÑA CHAQUETA"/>
    <x v="1"/>
    <x v="31"/>
    <x v="2"/>
    <x v="17"/>
    <x v="2"/>
    <x v="7"/>
    <x v="3"/>
    <m/>
  </r>
  <r>
    <x v="1"/>
    <m/>
    <x v="1"/>
    <n v="10"/>
    <s v="CAÑA CHAQUETA"/>
    <x v="1"/>
    <x v="32"/>
    <x v="16"/>
    <x v="17"/>
    <x v="3"/>
    <x v="6"/>
    <x v="3"/>
    <s v="2 jugada y córner"/>
  </r>
  <r>
    <x v="1"/>
    <m/>
    <x v="1"/>
    <n v="10"/>
    <s v="CAÑA CHAQUETA"/>
    <x v="1"/>
    <x v="33"/>
    <x v="9"/>
    <x v="14"/>
    <x v="0"/>
    <x v="2"/>
    <x v="3"/>
    <m/>
  </r>
  <r>
    <x v="1"/>
    <m/>
    <x v="1"/>
    <n v="10"/>
    <s v="CAÑA CHAQUETA"/>
    <x v="1"/>
    <x v="35"/>
    <x v="15"/>
    <x v="7"/>
    <x v="1"/>
    <x v="5"/>
    <x v="3"/>
    <m/>
  </r>
  <r>
    <x v="1"/>
    <m/>
    <x v="1"/>
    <n v="10"/>
    <s v="CAÑA CHAQUETA"/>
    <x v="1"/>
    <x v="35"/>
    <x v="6"/>
    <x v="17"/>
    <x v="3"/>
    <x v="1"/>
    <x v="3"/>
    <m/>
  </r>
  <r>
    <x v="1"/>
    <m/>
    <x v="1"/>
    <n v="10"/>
    <s v="CAÑA CHAQUETA"/>
    <x v="1"/>
    <x v="38"/>
    <x v="12"/>
    <x v="6"/>
    <x v="3"/>
    <x v="5"/>
    <x v="3"/>
    <s v="Conducción "/>
  </r>
  <r>
    <x v="1"/>
    <m/>
    <x v="1"/>
    <n v="10"/>
    <s v="CAÑA CHAQUETA"/>
    <x v="1"/>
    <x v="38"/>
    <x v="12"/>
    <x v="12"/>
    <x v="1"/>
    <x v="3"/>
    <x v="3"/>
    <s v="Córner"/>
  </r>
  <r>
    <x v="1"/>
    <m/>
    <x v="1"/>
    <n v="10"/>
    <s v="CAÑA CHAQUETA"/>
    <x v="1"/>
    <x v="39"/>
    <x v="6"/>
    <x v="16"/>
    <x v="3"/>
    <x v="7"/>
    <x v="3"/>
    <m/>
  </r>
  <r>
    <x v="1"/>
    <m/>
    <x v="1"/>
    <n v="10"/>
    <s v="CAÑA CHAQUETA"/>
    <x v="1"/>
    <x v="40"/>
    <x v="9"/>
    <x v="7"/>
    <x v="1"/>
    <x v="0"/>
    <x v="3"/>
    <m/>
  </r>
  <r>
    <x v="1"/>
    <m/>
    <x v="1"/>
    <n v="10"/>
    <s v="CAÑA CHAQUETA"/>
    <x v="1"/>
    <x v="41"/>
    <x v="2"/>
    <x v="17"/>
    <x v="3"/>
    <x v="2"/>
    <x v="3"/>
    <s v="Penal"/>
  </r>
  <r>
    <x v="1"/>
    <m/>
    <x v="1"/>
    <n v="10"/>
    <s v="CAÑA CHAQUETA"/>
    <x v="1"/>
    <x v="42"/>
    <x v="2"/>
    <x v="13"/>
    <x v="1"/>
    <x v="2"/>
    <x v="3"/>
    <m/>
  </r>
  <r>
    <x v="1"/>
    <m/>
    <x v="1"/>
    <n v="10"/>
    <s v="CAÑA CHAQUETA"/>
    <x v="1"/>
    <x v="79"/>
    <x v="15"/>
    <x v="16"/>
    <x v="1"/>
    <x v="5"/>
    <x v="3"/>
    <m/>
  </r>
  <r>
    <x v="1"/>
    <m/>
    <x v="1"/>
    <n v="10"/>
    <s v="CAÑA CHAQUETA"/>
    <x v="1"/>
    <x v="79"/>
    <x v="8"/>
    <x v="6"/>
    <x v="1"/>
    <x v="11"/>
    <x v="3"/>
    <s v="Conducción "/>
  </r>
  <r>
    <x v="2"/>
    <m/>
    <x v="2"/>
    <n v="11"/>
    <s v="MANANTIALES"/>
    <x v="1"/>
    <x v="86"/>
    <x v="10"/>
    <x v="7"/>
    <x v="1"/>
    <x v="5"/>
    <x v="2"/>
    <m/>
  </r>
  <r>
    <x v="2"/>
    <m/>
    <x v="2"/>
    <n v="11"/>
    <s v="MANANTIALES"/>
    <x v="1"/>
    <x v="86"/>
    <x v="11"/>
    <x v="7"/>
    <x v="1"/>
    <x v="6"/>
    <x v="2"/>
    <m/>
  </r>
  <r>
    <x v="2"/>
    <m/>
    <x v="2"/>
    <n v="11"/>
    <s v="MANANTIALES"/>
    <x v="1"/>
    <x v="86"/>
    <x v="5"/>
    <x v="7"/>
    <x v="1"/>
    <x v="5"/>
    <x v="2"/>
    <m/>
  </r>
  <r>
    <x v="2"/>
    <m/>
    <x v="2"/>
    <n v="11"/>
    <s v="MANANTIALES"/>
    <x v="1"/>
    <x v="86"/>
    <x v="5"/>
    <x v="7"/>
    <x v="1"/>
    <x v="5"/>
    <x v="2"/>
    <m/>
  </r>
  <r>
    <x v="2"/>
    <m/>
    <x v="2"/>
    <n v="11"/>
    <s v="MANANTIALES"/>
    <x v="1"/>
    <x v="86"/>
    <x v="9"/>
    <x v="2"/>
    <x v="1"/>
    <x v="4"/>
    <x v="2"/>
    <m/>
  </r>
  <r>
    <x v="2"/>
    <m/>
    <x v="2"/>
    <n v="11"/>
    <s v="MANANTIALES"/>
    <x v="1"/>
    <x v="86"/>
    <x v="5"/>
    <x v="7"/>
    <x v="1"/>
    <x v="6"/>
    <x v="2"/>
    <m/>
  </r>
  <r>
    <x v="2"/>
    <m/>
    <x v="2"/>
    <n v="11"/>
    <s v="MANANTIALES"/>
    <x v="1"/>
    <x v="86"/>
    <x v="4"/>
    <x v="1"/>
    <x v="3"/>
    <x v="5"/>
    <x v="2"/>
    <m/>
  </r>
  <r>
    <x v="2"/>
    <m/>
    <x v="2"/>
    <n v="11"/>
    <s v="MANANTIALES"/>
    <x v="1"/>
    <x v="86"/>
    <x v="15"/>
    <x v="16"/>
    <x v="2"/>
    <x v="5"/>
    <x v="2"/>
    <m/>
  </r>
  <r>
    <x v="2"/>
    <m/>
    <x v="2"/>
    <n v="11"/>
    <s v="MANANTIALES"/>
    <x v="1"/>
    <x v="86"/>
    <x v="8"/>
    <x v="8"/>
    <x v="1"/>
    <x v="5"/>
    <x v="2"/>
    <m/>
  </r>
  <r>
    <x v="2"/>
    <m/>
    <x v="2"/>
    <n v="11"/>
    <s v="MANANTIALES"/>
    <x v="1"/>
    <x v="86"/>
    <x v="8"/>
    <x v="16"/>
    <x v="2"/>
    <x v="5"/>
    <x v="2"/>
    <m/>
  </r>
  <r>
    <x v="2"/>
    <m/>
    <x v="2"/>
    <n v="11"/>
    <s v="MANANTIALES"/>
    <x v="1"/>
    <x v="86"/>
    <x v="11"/>
    <x v="7"/>
    <x v="0"/>
    <x v="5"/>
    <x v="2"/>
    <m/>
  </r>
  <r>
    <x v="2"/>
    <m/>
    <x v="2"/>
    <n v="11"/>
    <s v="MANANTIALES"/>
    <x v="1"/>
    <x v="86"/>
    <x v="12"/>
    <x v="16"/>
    <x v="2"/>
    <x v="5"/>
    <x v="2"/>
    <m/>
  </r>
  <r>
    <x v="2"/>
    <m/>
    <x v="2"/>
    <n v="11"/>
    <s v="MANANTIALES"/>
    <x v="1"/>
    <x v="87"/>
    <x v="6"/>
    <x v="16"/>
    <x v="3"/>
    <x v="1"/>
    <x v="0"/>
    <m/>
  </r>
  <r>
    <x v="2"/>
    <m/>
    <x v="2"/>
    <n v="11"/>
    <s v="MANANTIALES"/>
    <x v="1"/>
    <x v="86"/>
    <x v="12"/>
    <x v="11"/>
    <x v="1"/>
    <x v="1"/>
    <x v="0"/>
    <m/>
  </r>
  <r>
    <x v="2"/>
    <m/>
    <x v="2"/>
    <n v="11"/>
    <s v="MANANTIALES"/>
    <x v="1"/>
    <x v="86"/>
    <x v="11"/>
    <x v="7"/>
    <x v="1"/>
    <x v="1"/>
    <x v="0"/>
    <m/>
  </r>
  <r>
    <x v="2"/>
    <m/>
    <x v="2"/>
    <n v="11"/>
    <s v="MANANTIALES"/>
    <x v="1"/>
    <x v="87"/>
    <x v="6"/>
    <x v="6"/>
    <x v="0"/>
    <x v="7"/>
    <x v="1"/>
    <m/>
  </r>
  <r>
    <x v="2"/>
    <m/>
    <x v="2"/>
    <n v="11"/>
    <s v="MANANTIALES"/>
    <x v="1"/>
    <x v="86"/>
    <x v="9"/>
    <x v="11"/>
    <x v="1"/>
    <x v="6"/>
    <x v="2"/>
    <s v="Amarilla"/>
  </r>
  <r>
    <x v="2"/>
    <m/>
    <x v="2"/>
    <n v="11"/>
    <s v="MANANTIALES"/>
    <x v="1"/>
    <x v="86"/>
    <x v="2"/>
    <x v="16"/>
    <x v="3"/>
    <x v="2"/>
    <x v="1"/>
    <m/>
  </r>
  <r>
    <x v="2"/>
    <m/>
    <x v="2"/>
    <n v="11"/>
    <s v="MANANTIALES"/>
    <x v="1"/>
    <x v="86"/>
    <x v="4"/>
    <x v="16"/>
    <x v="3"/>
    <x v="5"/>
    <x v="2"/>
    <m/>
  </r>
  <r>
    <x v="2"/>
    <m/>
    <x v="2"/>
    <n v="11"/>
    <s v="MANANTIALES"/>
    <x v="1"/>
    <x v="86"/>
    <x v="11"/>
    <x v="8"/>
    <x v="1"/>
    <x v="5"/>
    <x v="2"/>
    <m/>
  </r>
  <r>
    <x v="2"/>
    <m/>
    <x v="2"/>
    <n v="11"/>
    <s v="MANANTIALES"/>
    <x v="1"/>
    <x v="86"/>
    <x v="15"/>
    <x v="1"/>
    <x v="0"/>
    <x v="4"/>
    <x v="2"/>
    <m/>
  </r>
  <r>
    <x v="2"/>
    <m/>
    <x v="2"/>
    <n v="11"/>
    <s v="MANANTIALES"/>
    <x v="1"/>
    <x v="86"/>
    <x v="12"/>
    <x v="7"/>
    <x v="1"/>
    <x v="5"/>
    <x v="2"/>
    <m/>
  </r>
  <r>
    <x v="2"/>
    <m/>
    <x v="2"/>
    <n v="11"/>
    <s v="MANANTIALES"/>
    <x v="1"/>
    <x v="86"/>
    <x v="15"/>
    <x v="7"/>
    <x v="1"/>
    <x v="6"/>
    <x v="2"/>
    <m/>
  </r>
  <r>
    <x v="2"/>
    <m/>
    <x v="2"/>
    <n v="11"/>
    <s v="MANANTIALES"/>
    <x v="1"/>
    <x v="86"/>
    <x v="9"/>
    <x v="8"/>
    <x v="1"/>
    <x v="4"/>
    <x v="0"/>
    <m/>
  </r>
  <r>
    <x v="2"/>
    <m/>
    <x v="2"/>
    <n v="11"/>
    <s v="MANANTIALES"/>
    <x v="1"/>
    <x v="86"/>
    <x v="5"/>
    <x v="16"/>
    <x v="3"/>
    <x v="6"/>
    <x v="0"/>
    <m/>
  </r>
  <r>
    <x v="2"/>
    <m/>
    <x v="2"/>
    <n v="11"/>
    <s v="MANANTIALES"/>
    <x v="1"/>
    <x v="86"/>
    <x v="12"/>
    <x v="1"/>
    <x v="1"/>
    <x v="6"/>
    <x v="0"/>
    <m/>
  </r>
  <r>
    <x v="2"/>
    <m/>
    <x v="2"/>
    <n v="11"/>
    <s v="MANANTIALES"/>
    <x v="1"/>
    <x v="86"/>
    <x v="8"/>
    <x v="20"/>
    <x v="1"/>
    <x v="5"/>
    <x v="2"/>
    <s v="Transición ata"/>
  </r>
  <r>
    <x v="2"/>
    <m/>
    <x v="2"/>
    <n v="11"/>
    <s v="MANANTIALES"/>
    <x v="1"/>
    <x v="86"/>
    <x v="8"/>
    <x v="11"/>
    <x v="1"/>
    <x v="5"/>
    <x v="2"/>
    <m/>
  </r>
  <r>
    <x v="2"/>
    <m/>
    <x v="2"/>
    <n v="11"/>
    <s v="MANANTIALES"/>
    <x v="1"/>
    <x v="86"/>
    <x v="12"/>
    <x v="21"/>
    <x v="5"/>
    <x v="11"/>
    <x v="1"/>
    <n v="3"/>
  </r>
  <r>
    <x v="2"/>
    <m/>
    <x v="2"/>
    <n v="11"/>
    <s v="MANANTIALES"/>
    <x v="1"/>
    <x v="86"/>
    <x v="4"/>
    <x v="1"/>
    <x v="5"/>
    <x v="7"/>
    <x v="2"/>
    <m/>
  </r>
  <r>
    <x v="2"/>
    <m/>
    <x v="2"/>
    <n v="11"/>
    <s v="MANANTIALES"/>
    <x v="1"/>
    <x v="86"/>
    <x v="9"/>
    <x v="5"/>
    <x v="1"/>
    <x v="4"/>
    <x v="0"/>
    <m/>
  </r>
  <r>
    <x v="2"/>
    <m/>
    <x v="2"/>
    <n v="11"/>
    <s v="MANANTIALES"/>
    <x v="1"/>
    <x v="86"/>
    <x v="5"/>
    <x v="7"/>
    <x v="1"/>
    <x v="6"/>
    <x v="2"/>
    <m/>
  </r>
  <r>
    <x v="2"/>
    <m/>
    <x v="2"/>
    <n v="11"/>
    <s v="MANANTIALES"/>
    <x v="1"/>
    <x v="86"/>
    <x v="10"/>
    <x v="12"/>
    <x v="1"/>
    <x v="7"/>
    <x v="1"/>
    <m/>
  </r>
  <r>
    <x v="2"/>
    <m/>
    <x v="2"/>
    <n v="11"/>
    <s v="MANANTIALES"/>
    <x v="1"/>
    <x v="86"/>
    <x v="2"/>
    <x v="11"/>
    <x v="1"/>
    <x v="9"/>
    <x v="1"/>
    <m/>
  </r>
  <r>
    <x v="2"/>
    <m/>
    <x v="2"/>
    <n v="11"/>
    <s v="MANANTIALES"/>
    <x v="1"/>
    <x v="88"/>
    <x v="11"/>
    <x v="14"/>
    <x v="0"/>
    <x v="9"/>
    <x v="1"/>
    <m/>
  </r>
  <r>
    <x v="2"/>
    <m/>
    <x v="2"/>
    <n v="11"/>
    <s v="MANANTIALES"/>
    <x v="1"/>
    <x v="88"/>
    <x v="12"/>
    <x v="21"/>
    <x v="1"/>
    <x v="11"/>
    <x v="1"/>
    <s v="Córner 4"/>
  </r>
  <r>
    <x v="2"/>
    <m/>
    <x v="2"/>
    <n v="11"/>
    <s v="MANANTIALES"/>
    <x v="1"/>
    <x v="89"/>
    <x v="10"/>
    <x v="6"/>
    <x v="1"/>
    <x v="7"/>
    <x v="1"/>
    <m/>
  </r>
  <r>
    <x v="2"/>
    <m/>
    <x v="2"/>
    <n v="11"/>
    <s v="MANANTIALES"/>
    <x v="1"/>
    <x v="89"/>
    <x v="15"/>
    <x v="7"/>
    <x v="1"/>
    <x v="5"/>
    <x v="2"/>
    <m/>
  </r>
  <r>
    <x v="2"/>
    <m/>
    <x v="2"/>
    <n v="11"/>
    <s v="MANANTIALES"/>
    <x v="1"/>
    <x v="89"/>
    <x v="12"/>
    <x v="5"/>
    <x v="1"/>
    <x v="5"/>
    <x v="2"/>
    <s v="Transición "/>
  </r>
  <r>
    <x v="2"/>
    <m/>
    <x v="2"/>
    <n v="11"/>
    <s v="MANANTIALES"/>
    <x v="1"/>
    <x v="89"/>
    <x v="8"/>
    <x v="11"/>
    <x v="1"/>
    <x v="7"/>
    <x v="1"/>
    <m/>
  </r>
  <r>
    <x v="2"/>
    <m/>
    <x v="2"/>
    <n v="11"/>
    <s v="MANANTIALES"/>
    <x v="1"/>
    <x v="89"/>
    <x v="11"/>
    <x v="14"/>
    <x v="1"/>
    <x v="9"/>
    <x v="1"/>
    <m/>
  </r>
  <r>
    <x v="2"/>
    <m/>
    <x v="2"/>
    <n v="11"/>
    <s v="MANANTIALES"/>
    <x v="1"/>
    <x v="89"/>
    <x v="4"/>
    <x v="1"/>
    <x v="1"/>
    <x v="4"/>
    <x v="0"/>
    <s v="Transición del"/>
  </r>
  <r>
    <x v="2"/>
    <m/>
    <x v="2"/>
    <n v="11"/>
    <s v="MANANTIALES"/>
    <x v="1"/>
    <x v="89"/>
    <x v="10"/>
    <x v="2"/>
    <x v="0"/>
    <x v="6"/>
    <x v="2"/>
    <m/>
  </r>
  <r>
    <x v="2"/>
    <m/>
    <x v="2"/>
    <n v="11"/>
    <s v="MANANTIALES"/>
    <x v="1"/>
    <x v="89"/>
    <x v="5"/>
    <x v="1"/>
    <x v="0"/>
    <x v="6"/>
    <x v="2"/>
    <m/>
  </r>
  <r>
    <x v="2"/>
    <m/>
    <x v="2"/>
    <n v="11"/>
    <s v="MANANTIALES"/>
    <x v="1"/>
    <x v="89"/>
    <x v="8"/>
    <x v="7"/>
    <x v="1"/>
    <x v="5"/>
    <x v="2"/>
    <m/>
  </r>
  <r>
    <x v="2"/>
    <m/>
    <x v="2"/>
    <n v="11"/>
    <s v="MANANTIALES"/>
    <x v="1"/>
    <x v="89"/>
    <x v="8"/>
    <x v="1"/>
    <x v="1"/>
    <x v="5"/>
    <x v="2"/>
    <m/>
  </r>
  <r>
    <x v="2"/>
    <m/>
    <x v="2"/>
    <n v="11"/>
    <s v="MANANTIALES"/>
    <x v="1"/>
    <x v="89"/>
    <x v="11"/>
    <x v="8"/>
    <x v="5"/>
    <x v="6"/>
    <x v="0"/>
    <m/>
  </r>
  <r>
    <x v="2"/>
    <m/>
    <x v="2"/>
    <n v="11"/>
    <s v="MANANTIALES"/>
    <x v="1"/>
    <x v="89"/>
    <x v="11"/>
    <x v="9"/>
    <x v="0"/>
    <x v="0"/>
    <x v="0"/>
    <s v="Fallo marca"/>
  </r>
  <r>
    <x v="2"/>
    <m/>
    <x v="2"/>
    <n v="11"/>
    <s v="MANANTIALES"/>
    <x v="1"/>
    <x v="89"/>
    <x v="5"/>
    <x v="9"/>
    <x v="0"/>
    <x v="0"/>
    <x v="0"/>
    <s v="Fallo marca"/>
  </r>
  <r>
    <x v="2"/>
    <m/>
    <x v="2"/>
    <n v="11"/>
    <s v="MANANTIALES"/>
    <x v="1"/>
    <x v="89"/>
    <x v="11"/>
    <x v="11"/>
    <x v="5"/>
    <x v="6"/>
    <x v="2"/>
    <m/>
  </r>
  <r>
    <x v="2"/>
    <m/>
    <x v="2"/>
    <n v="11"/>
    <s v="MANANTIALES"/>
    <x v="1"/>
    <x v="89"/>
    <x v="11"/>
    <x v="7"/>
    <x v="1"/>
    <x v="4"/>
    <x v="2"/>
    <m/>
  </r>
  <r>
    <x v="2"/>
    <m/>
    <x v="2"/>
    <n v="11"/>
    <s v="MANANTIALES"/>
    <x v="1"/>
    <x v="90"/>
    <x v="6"/>
    <x v="7"/>
    <x v="0"/>
    <x v="7"/>
    <x v="1"/>
    <m/>
  </r>
  <r>
    <x v="2"/>
    <m/>
    <x v="2"/>
    <n v="11"/>
    <s v="MANANTIALES"/>
    <x v="1"/>
    <x v="89"/>
    <x v="9"/>
    <x v="7"/>
    <x v="1"/>
    <x v="6"/>
    <x v="0"/>
    <m/>
  </r>
  <r>
    <x v="2"/>
    <m/>
    <x v="2"/>
    <n v="11"/>
    <s v="MANANTIALES"/>
    <x v="1"/>
    <x v="89"/>
    <x v="4"/>
    <x v="7"/>
    <x v="1"/>
    <x v="6"/>
    <x v="2"/>
    <m/>
  </r>
  <r>
    <x v="2"/>
    <m/>
    <x v="2"/>
    <n v="11"/>
    <s v="MANANTIALES"/>
    <x v="1"/>
    <x v="89"/>
    <x v="9"/>
    <x v="1"/>
    <x v="3"/>
    <x v="4"/>
    <x v="0"/>
    <m/>
  </r>
  <r>
    <x v="2"/>
    <m/>
    <x v="2"/>
    <n v="11"/>
    <s v="MANANTIALES"/>
    <x v="1"/>
    <x v="89"/>
    <x v="12"/>
    <x v="7"/>
    <x v="1"/>
    <x v="6"/>
    <x v="2"/>
    <m/>
  </r>
  <r>
    <x v="2"/>
    <m/>
    <x v="2"/>
    <n v="11"/>
    <s v="MANANTIALES"/>
    <x v="1"/>
    <x v="89"/>
    <x v="15"/>
    <x v="7"/>
    <x v="1"/>
    <x v="6"/>
    <x v="2"/>
    <s v="Transición ata"/>
  </r>
  <r>
    <x v="2"/>
    <m/>
    <x v="2"/>
    <n v="11"/>
    <s v="MANANTIALES"/>
    <x v="1"/>
    <x v="89"/>
    <x v="2"/>
    <x v="6"/>
    <x v="0"/>
    <x v="7"/>
    <x v="1"/>
    <m/>
  </r>
  <r>
    <x v="2"/>
    <m/>
    <x v="2"/>
    <n v="11"/>
    <s v="MANANTIALES"/>
    <x v="1"/>
    <x v="89"/>
    <x v="2"/>
    <x v="19"/>
    <x v="1"/>
    <x v="7"/>
    <x v="1"/>
    <m/>
  </r>
  <r>
    <x v="2"/>
    <m/>
    <x v="2"/>
    <n v="11"/>
    <s v="MANANTIALES"/>
    <x v="1"/>
    <x v="89"/>
    <x v="8"/>
    <x v="14"/>
    <x v="0"/>
    <x v="2"/>
    <x v="1"/>
    <m/>
  </r>
  <r>
    <x v="2"/>
    <m/>
    <x v="2"/>
    <n v="11"/>
    <s v="MANANTIALES"/>
    <x v="1"/>
    <x v="89"/>
    <x v="4"/>
    <x v="1"/>
    <x v="3"/>
    <x v="4"/>
    <x v="0"/>
    <m/>
  </r>
  <r>
    <x v="2"/>
    <m/>
    <x v="2"/>
    <n v="11"/>
    <s v="MANANTIALES"/>
    <x v="1"/>
    <x v="89"/>
    <x v="2"/>
    <x v="14"/>
    <x v="0"/>
    <x v="2"/>
    <x v="1"/>
    <m/>
  </r>
  <r>
    <x v="2"/>
    <m/>
    <x v="2"/>
    <n v="11"/>
    <s v="MANANTIALES"/>
    <x v="1"/>
    <x v="89"/>
    <x v="10"/>
    <x v="3"/>
    <x v="3"/>
    <x v="2"/>
    <x v="1"/>
    <m/>
  </r>
  <r>
    <x v="2"/>
    <m/>
    <x v="2"/>
    <n v="11"/>
    <s v="MANANTIALES"/>
    <x v="1"/>
    <x v="89"/>
    <x v="10"/>
    <x v="7"/>
    <x v="1"/>
    <x v="5"/>
    <x v="2"/>
    <m/>
  </r>
  <r>
    <x v="2"/>
    <m/>
    <x v="2"/>
    <n v="11"/>
    <s v="MANANTIALES"/>
    <x v="1"/>
    <x v="89"/>
    <x v="8"/>
    <x v="7"/>
    <x v="1"/>
    <x v="7"/>
    <x v="1"/>
    <m/>
  </r>
  <r>
    <x v="2"/>
    <m/>
    <x v="2"/>
    <n v="11"/>
    <s v="MANANTIALES"/>
    <x v="1"/>
    <x v="89"/>
    <x v="12"/>
    <x v="21"/>
    <x v="1"/>
    <x v="12"/>
    <x v="1"/>
    <n v="2"/>
  </r>
  <r>
    <x v="2"/>
    <m/>
    <x v="2"/>
    <n v="11"/>
    <s v="MANANTIALES"/>
    <x v="1"/>
    <x v="89"/>
    <x v="4"/>
    <x v="14"/>
    <x v="0"/>
    <x v="2"/>
    <x v="1"/>
    <m/>
  </r>
  <r>
    <x v="2"/>
    <m/>
    <x v="2"/>
    <n v="11"/>
    <s v="MANANTIALES"/>
    <x v="1"/>
    <x v="91"/>
    <x v="11"/>
    <x v="16"/>
    <x v="3"/>
    <x v="5"/>
    <x v="2"/>
    <m/>
  </r>
  <r>
    <x v="2"/>
    <m/>
    <x v="2"/>
    <n v="11"/>
    <s v="MANANTIALES"/>
    <x v="1"/>
    <x v="91"/>
    <x v="15"/>
    <x v="11"/>
    <x v="1"/>
    <x v="5"/>
    <x v="2"/>
    <s v="Amarilla"/>
  </r>
  <r>
    <x v="2"/>
    <m/>
    <x v="2"/>
    <n v="11"/>
    <s v="MANANTIALES"/>
    <x v="1"/>
    <x v="91"/>
    <x v="10"/>
    <x v="6"/>
    <x v="1"/>
    <x v="2"/>
    <x v="1"/>
    <m/>
  </r>
  <r>
    <x v="2"/>
    <m/>
    <x v="2"/>
    <n v="11"/>
    <s v="MANANTIALES"/>
    <x v="1"/>
    <x v="91"/>
    <x v="10"/>
    <x v="14"/>
    <x v="0"/>
    <x v="2"/>
    <x v="1"/>
    <m/>
  </r>
  <r>
    <x v="2"/>
    <m/>
    <x v="2"/>
    <n v="11"/>
    <s v="MANANTIALES"/>
    <x v="1"/>
    <x v="91"/>
    <x v="12"/>
    <x v="21"/>
    <x v="0"/>
    <x v="12"/>
    <x v="1"/>
    <n v="3"/>
  </r>
  <r>
    <x v="2"/>
    <m/>
    <x v="2"/>
    <n v="11"/>
    <s v="MANANTIALES"/>
    <x v="1"/>
    <x v="91"/>
    <x v="11"/>
    <x v="16"/>
    <x v="3"/>
    <x v="6"/>
    <x v="2"/>
    <m/>
  </r>
  <r>
    <x v="2"/>
    <m/>
    <x v="2"/>
    <n v="11"/>
    <s v="MANANTIALES"/>
    <x v="1"/>
    <x v="91"/>
    <x v="9"/>
    <x v="1"/>
    <x v="3"/>
    <x v="4"/>
    <x v="0"/>
    <m/>
  </r>
  <r>
    <x v="2"/>
    <m/>
    <x v="2"/>
    <n v="11"/>
    <s v="MANANTIALES"/>
    <x v="1"/>
    <x v="91"/>
    <x v="9"/>
    <x v="9"/>
    <x v="0"/>
    <x v="4"/>
    <x v="0"/>
    <m/>
  </r>
  <r>
    <x v="2"/>
    <m/>
    <x v="2"/>
    <n v="11"/>
    <s v="MANANTIALES"/>
    <x v="1"/>
    <x v="91"/>
    <x v="4"/>
    <x v="7"/>
    <x v="1"/>
    <x v="4"/>
    <x v="2"/>
    <m/>
  </r>
  <r>
    <x v="2"/>
    <m/>
    <x v="2"/>
    <n v="11"/>
    <s v="MANANTIALES"/>
    <x v="1"/>
    <x v="91"/>
    <x v="2"/>
    <x v="11"/>
    <x v="1"/>
    <x v="7"/>
    <x v="1"/>
    <m/>
  </r>
  <r>
    <x v="2"/>
    <m/>
    <x v="2"/>
    <n v="11"/>
    <s v="MANANTIALES"/>
    <x v="1"/>
    <x v="91"/>
    <x v="10"/>
    <x v="14"/>
    <x v="0"/>
    <x v="2"/>
    <x v="1"/>
    <m/>
  </r>
  <r>
    <x v="2"/>
    <m/>
    <x v="2"/>
    <n v="11"/>
    <s v="MANANTIALES"/>
    <x v="1"/>
    <x v="91"/>
    <x v="5"/>
    <x v="1"/>
    <x v="1"/>
    <x v="6"/>
    <x v="2"/>
    <m/>
  </r>
  <r>
    <x v="2"/>
    <m/>
    <x v="2"/>
    <n v="11"/>
    <s v="MANANTIALES"/>
    <x v="1"/>
    <x v="91"/>
    <x v="5"/>
    <x v="7"/>
    <x v="0"/>
    <x v="6"/>
    <x v="2"/>
    <m/>
  </r>
  <r>
    <x v="2"/>
    <m/>
    <x v="2"/>
    <n v="11"/>
    <s v="MANANTIALES"/>
    <x v="1"/>
    <x v="91"/>
    <x v="4"/>
    <x v="16"/>
    <x v="3"/>
    <x v="4"/>
    <x v="2"/>
    <m/>
  </r>
  <r>
    <x v="2"/>
    <m/>
    <x v="2"/>
    <n v="11"/>
    <s v="MANANTIALES"/>
    <x v="1"/>
    <x v="91"/>
    <x v="9"/>
    <x v="1"/>
    <x v="1"/>
    <x v="4"/>
    <x v="0"/>
    <m/>
  </r>
  <r>
    <x v="2"/>
    <m/>
    <x v="2"/>
    <n v="11"/>
    <s v="MANANTIALES"/>
    <x v="1"/>
    <x v="91"/>
    <x v="8"/>
    <x v="6"/>
    <x v="3"/>
    <x v="5"/>
    <x v="2"/>
    <s v="Conducción "/>
  </r>
  <r>
    <x v="2"/>
    <m/>
    <x v="2"/>
    <n v="11"/>
    <s v="MANANTIALES"/>
    <x v="1"/>
    <x v="91"/>
    <x v="11"/>
    <x v="12"/>
    <x v="0"/>
    <x v="5"/>
    <x v="2"/>
    <m/>
  </r>
  <r>
    <x v="2"/>
    <m/>
    <x v="2"/>
    <n v="11"/>
    <s v="MANANTIALES"/>
    <x v="1"/>
    <x v="91"/>
    <x v="8"/>
    <x v="6"/>
    <x v="3"/>
    <x v="5"/>
    <x v="2"/>
    <m/>
  </r>
  <r>
    <x v="2"/>
    <m/>
    <x v="2"/>
    <n v="11"/>
    <s v="MANANTIALES"/>
    <x v="1"/>
    <x v="91"/>
    <x v="8"/>
    <x v="7"/>
    <x v="1"/>
    <x v="7"/>
    <x v="1"/>
    <m/>
  </r>
  <r>
    <x v="2"/>
    <m/>
    <x v="2"/>
    <n v="11"/>
    <s v="MANANTIALES"/>
    <x v="1"/>
    <x v="91"/>
    <x v="11"/>
    <x v="7"/>
    <x v="1"/>
    <x v="5"/>
    <x v="1"/>
    <m/>
  </r>
  <r>
    <x v="2"/>
    <m/>
    <x v="2"/>
    <n v="11"/>
    <s v="MANANTIALES"/>
    <x v="1"/>
    <x v="91"/>
    <x v="12"/>
    <x v="21"/>
    <x v="1"/>
    <x v="12"/>
    <x v="1"/>
    <n v="2"/>
  </r>
  <r>
    <x v="2"/>
    <m/>
    <x v="2"/>
    <n v="11"/>
    <s v="MANANTIALES"/>
    <x v="1"/>
    <x v="91"/>
    <x v="8"/>
    <x v="1"/>
    <x v="1"/>
    <x v="5"/>
    <x v="2"/>
    <m/>
  </r>
  <r>
    <x v="2"/>
    <m/>
    <x v="2"/>
    <n v="11"/>
    <s v="MANANTIALES"/>
    <x v="1"/>
    <x v="91"/>
    <x v="11"/>
    <x v="15"/>
    <x v="1"/>
    <x v="6"/>
    <x v="1"/>
    <m/>
  </r>
  <r>
    <x v="2"/>
    <m/>
    <x v="2"/>
    <n v="11"/>
    <s v="MANANTIALES"/>
    <x v="1"/>
    <x v="91"/>
    <x v="2"/>
    <x v="14"/>
    <x v="4"/>
    <x v="2"/>
    <x v="1"/>
    <s v="Gol"/>
  </r>
  <r>
    <x v="2"/>
    <m/>
    <x v="2"/>
    <n v="11"/>
    <s v="MANANTIALES"/>
    <x v="1"/>
    <x v="92"/>
    <x v="6"/>
    <x v="16"/>
    <x v="2"/>
    <x v="1"/>
    <x v="0"/>
    <m/>
  </r>
  <r>
    <x v="2"/>
    <m/>
    <x v="2"/>
    <n v="11"/>
    <s v="MANANTIALES"/>
    <x v="1"/>
    <x v="91"/>
    <x v="15"/>
    <x v="8"/>
    <x v="1"/>
    <x v="1"/>
    <x v="0"/>
    <s v="Amarilla"/>
  </r>
  <r>
    <x v="2"/>
    <m/>
    <x v="2"/>
    <n v="11"/>
    <s v="MANANTIALES"/>
    <x v="1"/>
    <x v="91"/>
    <x v="5"/>
    <x v="9"/>
    <x v="5"/>
    <x v="0"/>
    <x v="0"/>
    <s v="Marca"/>
  </r>
  <r>
    <x v="2"/>
    <m/>
    <x v="2"/>
    <n v="11"/>
    <s v="MANANTIALES"/>
    <x v="1"/>
    <x v="91"/>
    <x v="15"/>
    <x v="12"/>
    <x v="1"/>
    <x v="7"/>
    <x v="2"/>
    <m/>
  </r>
  <r>
    <x v="2"/>
    <m/>
    <x v="2"/>
    <n v="11"/>
    <s v="MANANTIALES"/>
    <x v="1"/>
    <x v="92"/>
    <x v="6"/>
    <x v="10"/>
    <x v="1"/>
    <x v="1"/>
    <x v="0"/>
    <m/>
  </r>
  <r>
    <x v="2"/>
    <m/>
    <x v="2"/>
    <n v="11"/>
    <s v="MANANTIALES"/>
    <x v="1"/>
    <x v="92"/>
    <x v="6"/>
    <x v="10"/>
    <x v="1"/>
    <x v="7"/>
    <x v="1"/>
    <m/>
  </r>
  <r>
    <x v="2"/>
    <m/>
    <x v="2"/>
    <n v="11"/>
    <s v="MANANTIALES"/>
    <x v="1"/>
    <x v="91"/>
    <x v="10"/>
    <x v="14"/>
    <x v="4"/>
    <x v="2"/>
    <x v="1"/>
    <m/>
  </r>
  <r>
    <x v="2"/>
    <m/>
    <x v="2"/>
    <n v="11"/>
    <s v="MANANTIALES"/>
    <x v="1"/>
    <x v="91"/>
    <x v="11"/>
    <x v="6"/>
    <x v="0"/>
    <x v="7"/>
    <x v="1"/>
    <m/>
  </r>
  <r>
    <x v="2"/>
    <m/>
    <x v="2"/>
    <n v="11"/>
    <s v="MANANTIALES"/>
    <x v="1"/>
    <x v="91"/>
    <x v="15"/>
    <x v="7"/>
    <x v="1"/>
    <x v="7"/>
    <x v="1"/>
    <m/>
  </r>
  <r>
    <x v="2"/>
    <m/>
    <x v="2"/>
    <n v="11"/>
    <s v="MANANTIALES"/>
    <x v="1"/>
    <x v="89"/>
    <x v="4"/>
    <x v="17"/>
    <x v="3"/>
    <x v="11"/>
    <x v="1"/>
    <m/>
  </r>
  <r>
    <x v="2"/>
    <m/>
    <x v="2"/>
    <n v="11"/>
    <s v="MANANTIALES"/>
    <x v="1"/>
    <x v="90"/>
    <x v="6"/>
    <x v="7"/>
    <x v="1"/>
    <x v="1"/>
    <x v="2"/>
    <m/>
  </r>
  <r>
    <x v="2"/>
    <m/>
    <x v="2"/>
    <n v="11"/>
    <s v="MANANTIALES"/>
    <x v="1"/>
    <x v="89"/>
    <x v="12"/>
    <x v="7"/>
    <x v="1"/>
    <x v="1"/>
    <x v="2"/>
    <m/>
  </r>
  <r>
    <x v="2"/>
    <m/>
    <x v="2"/>
    <n v="11"/>
    <s v="MANANTIALES"/>
    <x v="1"/>
    <x v="89"/>
    <x v="5"/>
    <x v="7"/>
    <x v="1"/>
    <x v="1"/>
    <x v="2"/>
    <m/>
  </r>
  <r>
    <x v="2"/>
    <m/>
    <x v="2"/>
    <n v="11"/>
    <s v="MANANTIALES"/>
    <x v="1"/>
    <x v="89"/>
    <x v="5"/>
    <x v="7"/>
    <x v="1"/>
    <x v="11"/>
    <x v="2"/>
    <m/>
  </r>
  <r>
    <x v="2"/>
    <m/>
    <x v="2"/>
    <n v="11"/>
    <s v="MANANTIALES"/>
    <x v="1"/>
    <x v="90"/>
    <x v="6"/>
    <x v="7"/>
    <x v="1"/>
    <x v="11"/>
    <x v="2"/>
    <m/>
  </r>
  <r>
    <x v="2"/>
    <m/>
    <x v="2"/>
    <n v="11"/>
    <s v="MANANTIALES"/>
    <x v="1"/>
    <x v="89"/>
    <x v="12"/>
    <x v="7"/>
    <x v="1"/>
    <x v="11"/>
    <x v="2"/>
    <m/>
  </r>
  <r>
    <x v="2"/>
    <m/>
    <x v="2"/>
    <n v="11"/>
    <s v="MANANTIALES"/>
    <x v="1"/>
    <x v="89"/>
    <x v="10"/>
    <x v="6"/>
    <x v="3"/>
    <x v="7"/>
    <x v="1"/>
    <m/>
  </r>
  <r>
    <x v="2"/>
    <m/>
    <x v="2"/>
    <n v="11"/>
    <s v="MANANTIALES"/>
    <x v="1"/>
    <x v="89"/>
    <x v="9"/>
    <x v="1"/>
    <x v="1"/>
    <x v="11"/>
    <x v="0"/>
    <m/>
  </r>
  <r>
    <x v="2"/>
    <m/>
    <x v="2"/>
    <n v="11"/>
    <s v="MANANTIALES"/>
    <x v="1"/>
    <x v="89"/>
    <x v="15"/>
    <x v="7"/>
    <x v="1"/>
    <x v="11"/>
    <x v="2"/>
    <m/>
  </r>
  <r>
    <x v="2"/>
    <m/>
    <x v="2"/>
    <n v="11"/>
    <s v="MANANTIALES"/>
    <x v="1"/>
    <x v="89"/>
    <x v="5"/>
    <x v="1"/>
    <x v="3"/>
    <x v="6"/>
    <x v="2"/>
    <m/>
  </r>
  <r>
    <x v="2"/>
    <m/>
    <x v="2"/>
    <n v="11"/>
    <s v="MANANTIALES"/>
    <x v="1"/>
    <x v="89"/>
    <x v="2"/>
    <x v="16"/>
    <x v="5"/>
    <x v="11"/>
    <x v="1"/>
    <m/>
  </r>
  <r>
    <x v="2"/>
    <m/>
    <x v="2"/>
    <n v="11"/>
    <s v="MANANTIALES"/>
    <x v="1"/>
    <x v="89"/>
    <x v="8"/>
    <x v="8"/>
    <x v="1"/>
    <x v="4"/>
    <x v="2"/>
    <m/>
  </r>
  <r>
    <x v="2"/>
    <m/>
    <x v="2"/>
    <n v="11"/>
    <s v="MANANTIALES"/>
    <x v="1"/>
    <x v="89"/>
    <x v="8"/>
    <x v="6"/>
    <x v="1"/>
    <x v="7"/>
    <x v="2"/>
    <s v="Transición atq"/>
  </r>
  <r>
    <x v="2"/>
    <m/>
    <x v="2"/>
    <n v="11"/>
    <s v="MANANTIALES"/>
    <x v="1"/>
    <x v="89"/>
    <x v="8"/>
    <x v="7"/>
    <x v="1"/>
    <x v="7"/>
    <x v="2"/>
    <m/>
  </r>
  <r>
    <x v="2"/>
    <m/>
    <x v="2"/>
    <n v="11"/>
    <s v="MANANTIALES"/>
    <x v="1"/>
    <x v="89"/>
    <x v="12"/>
    <x v="6"/>
    <x v="0"/>
    <x v="2"/>
    <x v="1"/>
    <m/>
  </r>
  <r>
    <x v="2"/>
    <m/>
    <x v="2"/>
    <n v="11"/>
    <s v="MANANTIALES"/>
    <x v="1"/>
    <x v="89"/>
    <x v="5"/>
    <x v="9"/>
    <x v="0"/>
    <x v="0"/>
    <x v="0"/>
    <s v="Córner "/>
  </r>
  <r>
    <x v="2"/>
    <m/>
    <x v="2"/>
    <n v="11"/>
    <s v="MANANTIALES"/>
    <x v="1"/>
    <x v="90"/>
    <x v="6"/>
    <x v="11"/>
    <x v="0"/>
    <x v="0"/>
    <x v="0"/>
    <m/>
  </r>
  <r>
    <x v="2"/>
    <m/>
    <x v="2"/>
    <n v="11"/>
    <s v="MANANTIALES"/>
    <x v="1"/>
    <x v="89"/>
    <x v="15"/>
    <x v="16"/>
    <x v="2"/>
    <x v="7"/>
    <x v="1"/>
    <m/>
  </r>
  <r>
    <x v="2"/>
    <m/>
    <x v="2"/>
    <n v="11"/>
    <s v="MANANTIALES"/>
    <x v="1"/>
    <x v="89"/>
    <x v="11"/>
    <x v="9"/>
    <x v="2"/>
    <x v="0"/>
    <x v="0"/>
    <s v="Marca corner"/>
  </r>
  <r>
    <x v="2"/>
    <m/>
    <x v="2"/>
    <n v="11"/>
    <s v="MANANTIALES"/>
    <x v="1"/>
    <x v="89"/>
    <x v="15"/>
    <x v="16"/>
    <x v="2"/>
    <x v="5"/>
    <x v="2"/>
    <m/>
  </r>
  <r>
    <x v="2"/>
    <m/>
    <x v="2"/>
    <n v="11"/>
    <s v="MANANTIALES"/>
    <x v="1"/>
    <x v="89"/>
    <x v="12"/>
    <x v="1"/>
    <x v="1"/>
    <x v="5"/>
    <x v="2"/>
    <s v="Anticipación "/>
  </r>
  <r>
    <x v="2"/>
    <m/>
    <x v="2"/>
    <n v="11"/>
    <s v="MANANTIALES"/>
    <x v="1"/>
    <x v="90"/>
    <x v="6"/>
    <x v="11"/>
    <x v="1"/>
    <x v="11"/>
    <x v="2"/>
    <m/>
  </r>
  <r>
    <x v="2"/>
    <m/>
    <x v="2"/>
    <n v="11"/>
    <s v="MANANTIALES"/>
    <x v="1"/>
    <x v="89"/>
    <x v="10"/>
    <x v="6"/>
    <x v="3"/>
    <x v="9"/>
    <x v="1"/>
    <s v="Amarilla "/>
  </r>
  <r>
    <x v="2"/>
    <m/>
    <x v="2"/>
    <n v="11"/>
    <s v="MANANTIALES"/>
    <x v="1"/>
    <x v="89"/>
    <x v="10"/>
    <x v="14"/>
    <x v="0"/>
    <x v="9"/>
    <x v="1"/>
    <m/>
  </r>
  <r>
    <x v="2"/>
    <m/>
    <x v="2"/>
    <n v="11"/>
    <s v="MANANTIALES"/>
    <x v="1"/>
    <x v="89"/>
    <x v="11"/>
    <x v="1"/>
    <x v="3"/>
    <x v="5"/>
    <x v="2"/>
    <s v="Anticipación "/>
  </r>
  <r>
    <x v="2"/>
    <m/>
    <x v="2"/>
    <n v="11"/>
    <s v="MANANTIALES"/>
    <x v="1"/>
    <x v="93"/>
    <x v="11"/>
    <x v="7"/>
    <x v="0"/>
    <x v="5"/>
    <x v="2"/>
    <m/>
  </r>
  <r>
    <x v="2"/>
    <m/>
    <x v="2"/>
    <n v="11"/>
    <s v="MANANTIALES"/>
    <x v="1"/>
    <x v="93"/>
    <x v="2"/>
    <x v="16"/>
    <x v="3"/>
    <x v="7"/>
    <x v="1"/>
    <m/>
  </r>
  <r>
    <x v="2"/>
    <m/>
    <x v="2"/>
    <n v="11"/>
    <s v="MANANTIALES"/>
    <x v="1"/>
    <x v="93"/>
    <x v="17"/>
    <x v="17"/>
    <x v="2"/>
    <x v="11"/>
    <x v="2"/>
    <m/>
  </r>
  <r>
    <x v="2"/>
    <m/>
    <x v="2"/>
    <n v="11"/>
    <s v="MANANTIALES"/>
    <x v="1"/>
    <x v="93"/>
    <x v="4"/>
    <x v="11"/>
    <x v="5"/>
    <x v="11"/>
    <x v="2"/>
    <m/>
  </r>
  <r>
    <x v="2"/>
    <m/>
    <x v="2"/>
    <n v="11"/>
    <s v="MANANTIALES"/>
    <x v="1"/>
    <x v="93"/>
    <x v="11"/>
    <x v="7"/>
    <x v="1"/>
    <x v="11"/>
    <x v="2"/>
    <m/>
  </r>
  <r>
    <x v="2"/>
    <m/>
    <x v="2"/>
    <n v="11"/>
    <s v="MANANTIALES"/>
    <x v="1"/>
    <x v="93"/>
    <x v="0"/>
    <x v="7"/>
    <x v="1"/>
    <x v="11"/>
    <x v="2"/>
    <m/>
  </r>
  <r>
    <x v="2"/>
    <m/>
    <x v="2"/>
    <n v="11"/>
    <s v="MANANTIALES"/>
    <x v="1"/>
    <x v="93"/>
    <x v="2"/>
    <x v="12"/>
    <x v="1"/>
    <x v="7"/>
    <x v="1"/>
    <m/>
  </r>
  <r>
    <x v="2"/>
    <m/>
    <x v="2"/>
    <n v="11"/>
    <s v="MANANTIALES"/>
    <x v="1"/>
    <x v="93"/>
    <x v="5"/>
    <x v="9"/>
    <x v="0"/>
    <x v="11"/>
    <x v="0"/>
    <m/>
  </r>
  <r>
    <x v="2"/>
    <m/>
    <x v="2"/>
    <n v="11"/>
    <s v="MANANTIALES"/>
    <x v="1"/>
    <x v="93"/>
    <x v="15"/>
    <x v="20"/>
    <x v="5"/>
    <x v="11"/>
    <x v="2"/>
    <s v="Fallo presion"/>
  </r>
  <r>
    <x v="2"/>
    <m/>
    <x v="2"/>
    <n v="11"/>
    <s v="MANANTIALES"/>
    <x v="1"/>
    <x v="94"/>
    <x v="6"/>
    <x v="16"/>
    <x v="3"/>
    <x v="7"/>
    <x v="1"/>
    <m/>
  </r>
  <r>
    <x v="2"/>
    <m/>
    <x v="2"/>
    <n v="11"/>
    <s v="MANANTIALES"/>
    <x v="1"/>
    <x v="93"/>
    <x v="8"/>
    <x v="8"/>
    <x v="1"/>
    <x v="5"/>
    <x v="2"/>
    <s v="Amarilla"/>
  </r>
  <r>
    <x v="2"/>
    <m/>
    <x v="2"/>
    <n v="11"/>
    <s v="MANANTIALES"/>
    <x v="1"/>
    <x v="93"/>
    <x v="17"/>
    <x v="17"/>
    <x v="2"/>
    <x v="11"/>
    <x v="2"/>
    <m/>
  </r>
  <r>
    <x v="2"/>
    <m/>
    <x v="2"/>
    <n v="11"/>
    <s v="MANANTIALES"/>
    <x v="1"/>
    <x v="93"/>
    <x v="17"/>
    <x v="1"/>
    <x v="3"/>
    <x v="0"/>
    <x v="2"/>
    <m/>
  </r>
  <r>
    <x v="2"/>
    <m/>
    <x v="2"/>
    <n v="11"/>
    <s v="MANANTIALES"/>
    <x v="1"/>
    <x v="93"/>
    <x v="18"/>
    <x v="16"/>
    <x v="2"/>
    <x v="11"/>
    <x v="0"/>
    <m/>
  </r>
  <r>
    <x v="2"/>
    <m/>
    <x v="2"/>
    <n v="11"/>
    <s v="MANANTIALES"/>
    <x v="1"/>
    <x v="93"/>
    <x v="18"/>
    <x v="16"/>
    <x v="2"/>
    <x v="11"/>
    <x v="0"/>
    <m/>
  </r>
  <r>
    <x v="2"/>
    <m/>
    <x v="2"/>
    <n v="11"/>
    <s v="MANANTIALES"/>
    <x v="1"/>
    <x v="93"/>
    <x v="12"/>
    <x v="9"/>
    <x v="0"/>
    <x v="6"/>
    <x v="2"/>
    <m/>
  </r>
  <r>
    <x v="2"/>
    <m/>
    <x v="2"/>
    <n v="11"/>
    <s v="MANANTIALES"/>
    <x v="1"/>
    <x v="93"/>
    <x v="17"/>
    <x v="1"/>
    <x v="3"/>
    <x v="0"/>
    <x v="2"/>
    <m/>
  </r>
  <r>
    <x v="2"/>
    <m/>
    <x v="2"/>
    <n v="11"/>
    <s v="MANANTIALES"/>
    <x v="1"/>
    <x v="93"/>
    <x v="17"/>
    <x v="12"/>
    <x v="1"/>
    <x v="5"/>
    <x v="2"/>
    <m/>
  </r>
  <r>
    <x v="2"/>
    <m/>
    <x v="2"/>
    <n v="11"/>
    <s v="MANANTIALES"/>
    <x v="1"/>
    <x v="93"/>
    <x v="11"/>
    <x v="21"/>
    <x v="0"/>
    <x v="1"/>
    <x v="0"/>
    <m/>
  </r>
  <r>
    <x v="2"/>
    <m/>
    <x v="2"/>
    <n v="11"/>
    <s v="MANANTIALES"/>
    <x v="1"/>
    <x v="94"/>
    <x v="6"/>
    <x v="16"/>
    <x v="2"/>
    <x v="11"/>
    <x v="0"/>
    <m/>
  </r>
  <r>
    <x v="2"/>
    <m/>
    <x v="2"/>
    <n v="11"/>
    <s v="MANANTIALES"/>
    <x v="1"/>
    <x v="93"/>
    <x v="17"/>
    <x v="7"/>
    <x v="0"/>
    <x v="1"/>
    <x v="2"/>
    <m/>
  </r>
  <r>
    <x v="2"/>
    <m/>
    <x v="2"/>
    <n v="11"/>
    <s v="MANANTIALES"/>
    <x v="1"/>
    <x v="93"/>
    <x v="17"/>
    <x v="9"/>
    <x v="5"/>
    <x v="11"/>
    <x v="2"/>
    <m/>
  </r>
  <r>
    <x v="2"/>
    <m/>
    <x v="2"/>
    <n v="11"/>
    <s v="MANANTIALES"/>
    <x v="1"/>
    <x v="93"/>
    <x v="4"/>
    <x v="8"/>
    <x v="1"/>
    <x v="4"/>
    <x v="0"/>
    <m/>
  </r>
  <r>
    <x v="2"/>
    <m/>
    <x v="2"/>
    <n v="11"/>
    <s v="MANANTIALES"/>
    <x v="1"/>
    <x v="93"/>
    <x v="18"/>
    <x v="16"/>
    <x v="3"/>
    <x v="11"/>
    <x v="0"/>
    <m/>
  </r>
  <r>
    <x v="2"/>
    <m/>
    <x v="2"/>
    <n v="11"/>
    <s v="MANANTIALES"/>
    <x v="1"/>
    <x v="93"/>
    <x v="15"/>
    <x v="6"/>
    <x v="0"/>
    <x v="11"/>
    <x v="2"/>
    <m/>
  </r>
  <r>
    <x v="2"/>
    <m/>
    <x v="2"/>
    <n v="11"/>
    <s v="MANANTIALES"/>
    <x v="1"/>
    <x v="93"/>
    <x v="11"/>
    <x v="16"/>
    <x v="0"/>
    <x v="2"/>
    <x v="0"/>
    <m/>
  </r>
  <r>
    <x v="2"/>
    <m/>
    <x v="2"/>
    <n v="11"/>
    <s v="MANANTIALES"/>
    <x v="1"/>
    <x v="93"/>
    <x v="11"/>
    <x v="9"/>
    <x v="1"/>
    <x v="6"/>
    <x v="2"/>
    <m/>
  </r>
  <r>
    <x v="2"/>
    <m/>
    <x v="2"/>
    <n v="11"/>
    <s v="MANANTIALES"/>
    <x v="1"/>
    <x v="93"/>
    <x v="11"/>
    <x v="1"/>
    <x v="3"/>
    <x v="0"/>
    <x v="0"/>
    <m/>
  </r>
  <r>
    <x v="2"/>
    <m/>
    <x v="2"/>
    <n v="11"/>
    <s v="MANANTIALES"/>
    <x v="1"/>
    <x v="93"/>
    <x v="17"/>
    <x v="7"/>
    <x v="1"/>
    <x v="11"/>
    <x v="2"/>
    <m/>
  </r>
  <r>
    <x v="2"/>
    <m/>
    <x v="2"/>
    <n v="11"/>
    <s v="MANANTIALES"/>
    <x v="1"/>
    <x v="93"/>
    <x v="12"/>
    <x v="7"/>
    <x v="1"/>
    <x v="11"/>
    <x v="2"/>
    <m/>
  </r>
  <r>
    <x v="2"/>
    <m/>
    <x v="2"/>
    <n v="11"/>
    <s v="MANANTIALES"/>
    <x v="1"/>
    <x v="93"/>
    <x v="11"/>
    <x v="5"/>
    <x v="3"/>
    <x v="0"/>
    <x v="0"/>
    <m/>
  </r>
  <r>
    <x v="2"/>
    <m/>
    <x v="2"/>
    <n v="11"/>
    <s v="MANANTIALES"/>
    <x v="1"/>
    <x v="95"/>
    <x v="10"/>
    <x v="14"/>
    <x v="0"/>
    <x v="9"/>
    <x v="1"/>
    <m/>
  </r>
  <r>
    <x v="2"/>
    <m/>
    <x v="2"/>
    <n v="11"/>
    <s v="MANANTIALES"/>
    <x v="1"/>
    <x v="95"/>
    <x v="11"/>
    <x v="16"/>
    <x v="2"/>
    <x v="6"/>
    <x v="2"/>
    <m/>
  </r>
  <r>
    <x v="2"/>
    <m/>
    <x v="2"/>
    <n v="11"/>
    <s v="MANANTIALES"/>
    <x v="1"/>
    <x v="95"/>
    <x v="11"/>
    <x v="2"/>
    <x v="2"/>
    <x v="6"/>
    <x v="2"/>
    <s v="Gol en contra"/>
  </r>
  <r>
    <x v="2"/>
    <m/>
    <x v="2"/>
    <n v="11"/>
    <s v="MANANTIALES"/>
    <x v="1"/>
    <x v="95"/>
    <x v="11"/>
    <x v="16"/>
    <x v="3"/>
    <x v="5"/>
    <x v="2"/>
    <m/>
  </r>
  <r>
    <x v="2"/>
    <m/>
    <x v="2"/>
    <n v="11"/>
    <s v="MANANTIALES"/>
    <x v="1"/>
    <x v="95"/>
    <x v="12"/>
    <x v="7"/>
    <x v="1"/>
    <x v="11"/>
    <x v="2"/>
    <m/>
  </r>
  <r>
    <x v="2"/>
    <m/>
    <x v="2"/>
    <n v="11"/>
    <s v="MANANTIALES"/>
    <x v="1"/>
    <x v="95"/>
    <x v="10"/>
    <x v="7"/>
    <x v="1"/>
    <x v="11"/>
    <x v="2"/>
    <m/>
  </r>
  <r>
    <x v="2"/>
    <m/>
    <x v="2"/>
    <n v="11"/>
    <s v="MANANTIALES"/>
    <x v="1"/>
    <x v="95"/>
    <x v="12"/>
    <x v="21"/>
    <x v="0"/>
    <x v="11"/>
    <x v="1"/>
    <n v="3"/>
  </r>
  <r>
    <x v="2"/>
    <m/>
    <x v="2"/>
    <n v="11"/>
    <s v="MANANTIALES"/>
    <x v="1"/>
    <x v="95"/>
    <x v="17"/>
    <x v="7"/>
    <x v="1"/>
    <x v="7"/>
    <x v="2"/>
    <m/>
  </r>
  <r>
    <x v="2"/>
    <m/>
    <x v="2"/>
    <n v="11"/>
    <s v="MANANTIALES"/>
    <x v="1"/>
    <x v="96"/>
    <x v="6"/>
    <x v="19"/>
    <x v="5"/>
    <x v="11"/>
    <x v="1"/>
    <m/>
  </r>
  <r>
    <x v="2"/>
    <m/>
    <x v="2"/>
    <n v="11"/>
    <s v="MANANTIALES"/>
    <x v="1"/>
    <x v="95"/>
    <x v="12"/>
    <x v="21"/>
    <x v="0"/>
    <x v="11"/>
    <x v="1"/>
    <n v="2"/>
  </r>
  <r>
    <x v="2"/>
    <m/>
    <x v="2"/>
    <n v="11"/>
    <s v="MANANTIALES"/>
    <x v="1"/>
    <x v="95"/>
    <x v="17"/>
    <x v="7"/>
    <x v="1"/>
    <x v="11"/>
    <x v="2"/>
    <m/>
  </r>
  <r>
    <x v="2"/>
    <m/>
    <x v="2"/>
    <n v="11"/>
    <s v="MANANTIALES"/>
    <x v="1"/>
    <x v="95"/>
    <x v="17"/>
    <x v="16"/>
    <x v="1"/>
    <x v="5"/>
    <x v="2"/>
    <m/>
  </r>
  <r>
    <x v="2"/>
    <m/>
    <x v="2"/>
    <n v="11"/>
    <s v="MANANTIALES"/>
    <x v="1"/>
    <x v="95"/>
    <x v="17"/>
    <x v="7"/>
    <x v="1"/>
    <x v="5"/>
    <x v="2"/>
    <m/>
  </r>
  <r>
    <x v="2"/>
    <m/>
    <x v="2"/>
    <n v="11"/>
    <s v="MANANTIALES"/>
    <x v="1"/>
    <x v="95"/>
    <x v="16"/>
    <x v="1"/>
    <x v="3"/>
    <x v="0"/>
    <x v="0"/>
    <m/>
  </r>
  <r>
    <x v="2"/>
    <m/>
    <x v="2"/>
    <n v="11"/>
    <s v="MANANTIALES"/>
    <x v="1"/>
    <x v="95"/>
    <x v="10"/>
    <x v="16"/>
    <x v="2"/>
    <x v="11"/>
    <x v="1"/>
    <m/>
  </r>
  <r>
    <x v="2"/>
    <m/>
    <x v="2"/>
    <n v="11"/>
    <s v="MANANTIALES"/>
    <x v="1"/>
    <x v="95"/>
    <x v="17"/>
    <x v="1"/>
    <x v="3"/>
    <x v="11"/>
    <x v="0"/>
    <m/>
  </r>
  <r>
    <x v="2"/>
    <m/>
    <x v="2"/>
    <n v="11"/>
    <s v="MANANTIALES"/>
    <x v="1"/>
    <x v="95"/>
    <x v="16"/>
    <x v="16"/>
    <x v="2"/>
    <x v="0"/>
    <x v="0"/>
    <m/>
  </r>
  <r>
    <x v="2"/>
    <m/>
    <x v="2"/>
    <n v="11"/>
    <s v="MANANTIALES"/>
    <x v="1"/>
    <x v="95"/>
    <x v="16"/>
    <x v="1"/>
    <x v="2"/>
    <x v="4"/>
    <x v="0"/>
    <m/>
  </r>
  <r>
    <x v="2"/>
    <m/>
    <x v="2"/>
    <n v="11"/>
    <s v="MANANTIALES"/>
    <x v="1"/>
    <x v="95"/>
    <x v="17"/>
    <x v="16"/>
    <x v="2"/>
    <x v="5"/>
    <x v="2"/>
    <m/>
  </r>
  <r>
    <x v="2"/>
    <m/>
    <x v="2"/>
    <n v="11"/>
    <s v="MANANTIALES"/>
    <x v="1"/>
    <x v="95"/>
    <x v="2"/>
    <x v="11"/>
    <x v="1"/>
    <x v="7"/>
    <x v="1"/>
    <m/>
  </r>
  <r>
    <x v="2"/>
    <m/>
    <x v="2"/>
    <n v="11"/>
    <s v="MANANTIALES"/>
    <x v="1"/>
    <x v="96"/>
    <x v="6"/>
    <x v="11"/>
    <x v="1"/>
    <x v="6"/>
    <x v="2"/>
    <s v="Amarillas "/>
  </r>
  <r>
    <x v="2"/>
    <m/>
    <x v="2"/>
    <n v="11"/>
    <s v="MANANTIALES"/>
    <x v="1"/>
    <x v="95"/>
    <x v="15"/>
    <x v="8"/>
    <x v="1"/>
    <x v="6"/>
    <x v="2"/>
    <m/>
  </r>
  <r>
    <x v="2"/>
    <m/>
    <x v="2"/>
    <n v="11"/>
    <s v="MANANTIALES"/>
    <x v="1"/>
    <x v="95"/>
    <x v="17"/>
    <x v="9"/>
    <x v="1"/>
    <x v="5"/>
    <x v="2"/>
    <m/>
  </r>
  <r>
    <x v="2"/>
    <m/>
    <x v="2"/>
    <n v="11"/>
    <s v="MANANTIALES"/>
    <x v="1"/>
    <x v="95"/>
    <x v="17"/>
    <x v="5"/>
    <x v="0"/>
    <x v="11"/>
    <x v="2"/>
    <m/>
  </r>
  <r>
    <x v="2"/>
    <m/>
    <x v="2"/>
    <n v="11"/>
    <s v="MANANTIALES"/>
    <x v="1"/>
    <x v="95"/>
    <x v="15"/>
    <x v="5"/>
    <x v="0"/>
    <x v="11"/>
    <x v="2"/>
    <m/>
  </r>
  <r>
    <x v="2"/>
    <m/>
    <x v="2"/>
    <n v="11"/>
    <s v="MANANTIALES"/>
    <x v="1"/>
    <x v="95"/>
    <x v="10"/>
    <x v="5"/>
    <x v="0"/>
    <x v="11"/>
    <x v="2"/>
    <m/>
  </r>
  <r>
    <x v="2"/>
    <m/>
    <x v="2"/>
    <n v="11"/>
    <s v="MANANTIALES"/>
    <x v="1"/>
    <x v="95"/>
    <x v="15"/>
    <x v="6"/>
    <x v="0"/>
    <x v="11"/>
    <x v="2"/>
    <m/>
  </r>
  <r>
    <x v="2"/>
    <m/>
    <x v="2"/>
    <n v="11"/>
    <s v="MANANTIALES"/>
    <x v="1"/>
    <x v="95"/>
    <x v="17"/>
    <x v="5"/>
    <x v="0"/>
    <x v="11"/>
    <x v="2"/>
    <m/>
  </r>
  <r>
    <x v="2"/>
    <m/>
    <x v="2"/>
    <n v="11"/>
    <s v="MANANTIALES"/>
    <x v="1"/>
    <x v="95"/>
    <x v="17"/>
    <x v="1"/>
    <x v="0"/>
    <x v="11"/>
    <x v="2"/>
    <m/>
  </r>
  <r>
    <x v="3"/>
    <d v="2025-12-07T00:00:00"/>
    <x v="3"/>
    <n v="12"/>
    <s v="MANANTIALES"/>
    <x v="1"/>
    <x v="86"/>
    <x v="16"/>
    <x v="16"/>
    <x v="0"/>
    <x v="5"/>
    <x v="2"/>
    <m/>
  </r>
  <r>
    <x v="3"/>
    <d v="2025-12-07T00:00:00"/>
    <x v="3"/>
    <n v="12"/>
    <s v="MANANTIALES"/>
    <x v="1"/>
    <x v="86"/>
    <x v="12"/>
    <x v="7"/>
    <x v="1"/>
    <x v="6"/>
    <x v="2"/>
    <m/>
  </r>
  <r>
    <x v="3"/>
    <d v="2025-12-07T00:00:00"/>
    <x v="3"/>
    <n v="12"/>
    <s v="MANANTIALES"/>
    <x v="1"/>
    <x v="86"/>
    <x v="8"/>
    <x v="12"/>
    <x v="1"/>
    <x v="6"/>
    <x v="2"/>
    <m/>
  </r>
  <r>
    <x v="3"/>
    <d v="2025-12-07T00:00:00"/>
    <x v="3"/>
    <n v="12"/>
    <s v="MANANTIALES"/>
    <x v="1"/>
    <x v="86"/>
    <x v="11"/>
    <x v="16"/>
    <x v="3"/>
    <x v="6"/>
    <x v="2"/>
    <m/>
  </r>
  <r>
    <x v="3"/>
    <d v="2025-12-07T00:00:00"/>
    <x v="3"/>
    <n v="12"/>
    <s v="MANANTIALES"/>
    <x v="1"/>
    <x v="86"/>
    <x v="10"/>
    <x v="2"/>
    <x v="1"/>
    <x v="5"/>
    <x v="2"/>
    <m/>
  </r>
  <r>
    <x v="3"/>
    <d v="2025-12-07T00:00:00"/>
    <x v="3"/>
    <n v="12"/>
    <s v="MANANTIALES"/>
    <x v="1"/>
    <x v="86"/>
    <x v="12"/>
    <x v="7"/>
    <x v="1"/>
    <x v="6"/>
    <x v="2"/>
    <m/>
  </r>
  <r>
    <x v="3"/>
    <d v="2025-12-07T00:00:00"/>
    <x v="3"/>
    <n v="12"/>
    <s v="MANANTIALES"/>
    <x v="1"/>
    <x v="86"/>
    <x v="8"/>
    <x v="11"/>
    <x v="1"/>
    <x v="5"/>
    <x v="2"/>
    <m/>
  </r>
  <r>
    <x v="3"/>
    <d v="2025-12-07T00:00:00"/>
    <x v="3"/>
    <n v="12"/>
    <s v="MANANTIALES"/>
    <x v="1"/>
    <x v="86"/>
    <x v="11"/>
    <x v="16"/>
    <x v="1"/>
    <x v="6"/>
    <x v="2"/>
    <m/>
  </r>
  <r>
    <x v="3"/>
    <d v="2025-12-07T00:00:00"/>
    <x v="3"/>
    <n v="12"/>
    <s v="MANANTIALES"/>
    <x v="1"/>
    <x v="86"/>
    <x v="11"/>
    <x v="7"/>
    <x v="0"/>
    <x v="6"/>
    <x v="2"/>
    <m/>
  </r>
  <r>
    <x v="3"/>
    <d v="2025-12-07T00:00:00"/>
    <x v="3"/>
    <n v="12"/>
    <s v="MANANTIALES"/>
    <x v="1"/>
    <x v="86"/>
    <x v="11"/>
    <x v="7"/>
    <x v="1"/>
    <x v="6"/>
    <x v="2"/>
    <m/>
  </r>
  <r>
    <x v="3"/>
    <d v="2025-12-07T00:00:00"/>
    <x v="3"/>
    <n v="12"/>
    <s v="MANANTIALES"/>
    <x v="1"/>
    <x v="86"/>
    <x v="0"/>
    <x v="7"/>
    <x v="1"/>
    <x v="6"/>
    <x v="2"/>
    <m/>
  </r>
  <r>
    <x v="3"/>
    <d v="2025-12-07T00:00:00"/>
    <x v="3"/>
    <n v="12"/>
    <s v="MANANTIALES"/>
    <x v="1"/>
    <x v="86"/>
    <x v="11"/>
    <x v="12"/>
    <x v="1"/>
    <x v="5"/>
    <x v="2"/>
    <m/>
  </r>
  <r>
    <x v="3"/>
    <d v="2025-12-07T00:00:00"/>
    <x v="3"/>
    <n v="12"/>
    <s v="MANANTIALES"/>
    <x v="1"/>
    <x v="86"/>
    <x v="12"/>
    <x v="11"/>
    <x v="1"/>
    <x v="5"/>
    <x v="2"/>
    <m/>
  </r>
  <r>
    <x v="3"/>
    <d v="2025-12-07T00:00:00"/>
    <x v="3"/>
    <n v="12"/>
    <s v="MANANTIALES"/>
    <x v="1"/>
    <x v="86"/>
    <x v="8"/>
    <x v="14"/>
    <x v="4"/>
    <x v="9"/>
    <x v="1"/>
    <m/>
  </r>
  <r>
    <x v="3"/>
    <d v="2025-12-07T00:00:00"/>
    <x v="3"/>
    <n v="12"/>
    <s v="MANANTIALES"/>
    <x v="1"/>
    <x v="86"/>
    <x v="11"/>
    <x v="18"/>
    <x v="1"/>
    <x v="4"/>
    <x v="0"/>
    <m/>
  </r>
  <r>
    <x v="3"/>
    <d v="2025-12-07T00:00:00"/>
    <x v="3"/>
    <n v="12"/>
    <s v="MANANTIALES"/>
    <x v="1"/>
    <x v="86"/>
    <x v="5"/>
    <x v="18"/>
    <x v="1"/>
    <x v="1"/>
    <x v="0"/>
    <m/>
  </r>
  <r>
    <x v="3"/>
    <d v="2025-12-07T00:00:00"/>
    <x v="3"/>
    <n v="12"/>
    <s v="MANANTIALES"/>
    <x v="1"/>
    <x v="86"/>
    <x v="16"/>
    <x v="16"/>
    <x v="3"/>
    <x v="6"/>
    <x v="2"/>
    <m/>
  </r>
  <r>
    <x v="3"/>
    <d v="2025-12-07T00:00:00"/>
    <x v="3"/>
    <n v="12"/>
    <s v="MANANTIALES"/>
    <x v="1"/>
    <x v="86"/>
    <x v="9"/>
    <x v="16"/>
    <x v="2"/>
    <x v="6"/>
    <x v="2"/>
    <m/>
  </r>
  <r>
    <x v="3"/>
    <d v="2025-12-07T00:00:00"/>
    <x v="3"/>
    <n v="12"/>
    <s v="MANANTIALES"/>
    <x v="1"/>
    <x v="86"/>
    <x v="5"/>
    <x v="16"/>
    <x v="3"/>
    <x v="1"/>
    <x v="0"/>
    <m/>
  </r>
  <r>
    <x v="3"/>
    <d v="2025-12-07T00:00:00"/>
    <x v="3"/>
    <n v="12"/>
    <s v="MANANTIALES"/>
    <x v="1"/>
    <x v="86"/>
    <x v="5"/>
    <x v="16"/>
    <x v="3"/>
    <x v="1"/>
    <x v="0"/>
    <m/>
  </r>
  <r>
    <x v="3"/>
    <d v="2025-12-07T00:00:00"/>
    <x v="3"/>
    <n v="12"/>
    <s v="MANANTIALES"/>
    <x v="1"/>
    <x v="86"/>
    <x v="2"/>
    <x v="16"/>
    <x v="2"/>
    <x v="13"/>
    <x v="1"/>
    <m/>
  </r>
  <r>
    <x v="3"/>
    <d v="2025-12-07T00:00:00"/>
    <x v="3"/>
    <n v="12"/>
    <s v="MANANTIALES"/>
    <x v="1"/>
    <x v="86"/>
    <x v="2"/>
    <x v="5"/>
    <x v="1"/>
    <x v="7"/>
    <x v="1"/>
    <m/>
  </r>
  <r>
    <x v="3"/>
    <d v="2025-12-07T00:00:00"/>
    <x v="3"/>
    <n v="12"/>
    <s v="MANANTIALES"/>
    <x v="1"/>
    <x v="86"/>
    <x v="19"/>
    <x v="21"/>
    <x v="1"/>
    <x v="7"/>
    <x v="1"/>
    <s v="Saque banda"/>
  </r>
  <r>
    <x v="3"/>
    <d v="2025-12-07T00:00:00"/>
    <x v="3"/>
    <n v="12"/>
    <s v="MANANTIALES"/>
    <x v="1"/>
    <x v="86"/>
    <x v="0"/>
    <x v="17"/>
    <x v="3"/>
    <x v="1"/>
    <x v="0"/>
    <m/>
  </r>
  <r>
    <x v="3"/>
    <d v="2025-12-07T00:00:00"/>
    <x v="3"/>
    <n v="12"/>
    <s v="MANANTIALES"/>
    <x v="1"/>
    <x v="86"/>
    <x v="11"/>
    <x v="1"/>
    <x v="3"/>
    <x v="5"/>
    <x v="2"/>
    <m/>
  </r>
  <r>
    <x v="3"/>
    <d v="2025-12-07T00:00:00"/>
    <x v="3"/>
    <n v="12"/>
    <s v="MANANTIALES"/>
    <x v="1"/>
    <x v="86"/>
    <x v="11"/>
    <x v="17"/>
    <x v="3"/>
    <x v="6"/>
    <x v="2"/>
    <m/>
  </r>
  <r>
    <x v="3"/>
    <d v="2025-12-07T00:00:00"/>
    <x v="3"/>
    <n v="12"/>
    <s v="MANANTIALES"/>
    <x v="1"/>
    <x v="86"/>
    <x v="9"/>
    <x v="1"/>
    <x v="1"/>
    <x v="6"/>
    <x v="2"/>
    <m/>
  </r>
  <r>
    <x v="3"/>
    <d v="2025-12-07T00:00:00"/>
    <x v="3"/>
    <n v="12"/>
    <s v="MANANTIALES"/>
    <x v="1"/>
    <x v="86"/>
    <x v="5"/>
    <x v="16"/>
    <x v="3"/>
    <x v="1"/>
    <x v="0"/>
    <m/>
  </r>
  <r>
    <x v="3"/>
    <d v="2025-12-07T00:00:00"/>
    <x v="3"/>
    <n v="12"/>
    <s v="MANANTIALES"/>
    <x v="1"/>
    <x v="86"/>
    <x v="9"/>
    <x v="1"/>
    <x v="3"/>
    <x v="6"/>
    <x v="2"/>
    <m/>
  </r>
  <r>
    <x v="3"/>
    <d v="2025-12-07T00:00:00"/>
    <x v="3"/>
    <n v="12"/>
    <s v="MANANTIALES"/>
    <x v="1"/>
    <x v="86"/>
    <x v="9"/>
    <x v="6"/>
    <x v="3"/>
    <x v="6"/>
    <x v="2"/>
    <s v="Conducción "/>
  </r>
  <r>
    <x v="3"/>
    <d v="2025-12-07T00:00:00"/>
    <x v="3"/>
    <n v="12"/>
    <s v="MANANTIALES"/>
    <x v="1"/>
    <x v="86"/>
    <x v="2"/>
    <x v="16"/>
    <x v="2"/>
    <x v="9"/>
    <x v="0"/>
    <m/>
  </r>
  <r>
    <x v="3"/>
    <d v="2025-12-07T00:00:00"/>
    <x v="3"/>
    <n v="12"/>
    <s v="MANANTIALES"/>
    <x v="1"/>
    <x v="86"/>
    <x v="5"/>
    <x v="16"/>
    <x v="2"/>
    <x v="1"/>
    <x v="0"/>
    <s v="Fallo marca"/>
  </r>
  <r>
    <x v="3"/>
    <d v="2025-12-07T00:00:00"/>
    <x v="3"/>
    <n v="12"/>
    <s v="MANANTIALES"/>
    <x v="1"/>
    <x v="86"/>
    <x v="8"/>
    <x v="16"/>
    <x v="3"/>
    <x v="5"/>
    <x v="2"/>
    <m/>
  </r>
  <r>
    <x v="3"/>
    <d v="2025-12-07T00:00:00"/>
    <x v="3"/>
    <n v="12"/>
    <s v="MANANTIALES"/>
    <x v="1"/>
    <x v="86"/>
    <x v="8"/>
    <x v="8"/>
    <x v="1"/>
    <x v="5"/>
    <x v="2"/>
    <m/>
  </r>
  <r>
    <x v="3"/>
    <d v="2025-12-07T00:00:00"/>
    <x v="3"/>
    <n v="12"/>
    <s v="MANANTIALES"/>
    <x v="1"/>
    <x v="86"/>
    <x v="9"/>
    <x v="16"/>
    <x v="0"/>
    <x v="9"/>
    <x v="0"/>
    <m/>
  </r>
  <r>
    <x v="3"/>
    <d v="2025-12-07T00:00:00"/>
    <x v="3"/>
    <n v="12"/>
    <s v="MANANTIALES"/>
    <x v="1"/>
    <x v="86"/>
    <x v="12"/>
    <x v="16"/>
    <x v="3"/>
    <x v="5"/>
    <x v="2"/>
    <m/>
  </r>
  <r>
    <x v="3"/>
    <d v="2025-12-07T00:00:00"/>
    <x v="3"/>
    <n v="12"/>
    <s v="MANANTIALES"/>
    <x v="1"/>
    <x v="86"/>
    <x v="10"/>
    <x v="6"/>
    <x v="3"/>
    <x v="7"/>
    <x v="1"/>
    <m/>
  </r>
  <r>
    <x v="3"/>
    <d v="2025-12-07T00:00:00"/>
    <x v="3"/>
    <n v="12"/>
    <s v="MANANTIALES"/>
    <x v="1"/>
    <x v="86"/>
    <x v="10"/>
    <x v="6"/>
    <x v="1"/>
    <x v="7"/>
    <x v="1"/>
    <m/>
  </r>
  <r>
    <x v="3"/>
    <d v="2025-12-07T00:00:00"/>
    <x v="3"/>
    <n v="12"/>
    <s v="MANANTIALES"/>
    <x v="1"/>
    <x v="86"/>
    <x v="11"/>
    <x v="16"/>
    <x v="1"/>
    <x v="6"/>
    <x v="2"/>
    <m/>
  </r>
  <r>
    <x v="3"/>
    <d v="2025-12-07T00:00:00"/>
    <x v="3"/>
    <n v="12"/>
    <s v="MANANTIALES"/>
    <x v="1"/>
    <x v="86"/>
    <x v="12"/>
    <x v="16"/>
    <x v="1"/>
    <x v="6"/>
    <x v="2"/>
    <m/>
  </r>
  <r>
    <x v="3"/>
    <d v="2025-12-07T00:00:00"/>
    <x v="3"/>
    <n v="12"/>
    <s v="MANANTIALES"/>
    <x v="1"/>
    <x v="86"/>
    <x v="18"/>
    <x v="8"/>
    <x v="1"/>
    <x v="1"/>
    <x v="0"/>
    <m/>
  </r>
  <r>
    <x v="3"/>
    <d v="2025-12-07T00:00:00"/>
    <x v="3"/>
    <n v="12"/>
    <s v="MANANTIALES"/>
    <x v="1"/>
    <x v="86"/>
    <x v="9"/>
    <x v="16"/>
    <x v="0"/>
    <x v="9"/>
    <x v="0"/>
    <m/>
  </r>
  <r>
    <x v="3"/>
    <d v="2025-12-07T00:00:00"/>
    <x v="3"/>
    <n v="12"/>
    <s v="MANANTIALES"/>
    <x v="1"/>
    <x v="86"/>
    <x v="0"/>
    <x v="16"/>
    <x v="3"/>
    <x v="6"/>
    <x v="2"/>
    <m/>
  </r>
  <r>
    <x v="3"/>
    <d v="2025-12-07T00:00:00"/>
    <x v="3"/>
    <n v="12"/>
    <s v="MANANTIALES"/>
    <x v="1"/>
    <x v="86"/>
    <x v="8"/>
    <x v="6"/>
    <x v="0"/>
    <x v="6"/>
    <x v="2"/>
    <m/>
  </r>
  <r>
    <x v="3"/>
    <d v="2025-12-07T00:00:00"/>
    <x v="3"/>
    <n v="12"/>
    <s v="MANANTIALES"/>
    <x v="1"/>
    <x v="88"/>
    <x v="0"/>
    <x v="7"/>
    <x v="1"/>
    <x v="6"/>
    <x v="2"/>
    <m/>
  </r>
  <r>
    <x v="3"/>
    <d v="2025-12-07T00:00:00"/>
    <x v="3"/>
    <n v="12"/>
    <s v="MANANTIALES"/>
    <x v="1"/>
    <x v="88"/>
    <x v="9"/>
    <x v="18"/>
    <x v="1"/>
    <x v="7"/>
    <x v="1"/>
    <m/>
  </r>
  <r>
    <x v="3"/>
    <d v="2025-12-07T00:00:00"/>
    <x v="3"/>
    <n v="12"/>
    <s v="MANANTIALES"/>
    <x v="1"/>
    <x v="88"/>
    <x v="10"/>
    <x v="6"/>
    <x v="1"/>
    <x v="7"/>
    <x v="1"/>
    <m/>
  </r>
  <r>
    <x v="3"/>
    <d v="2025-12-07T00:00:00"/>
    <x v="3"/>
    <n v="12"/>
    <s v="MANANTIALES"/>
    <x v="1"/>
    <x v="88"/>
    <x v="10"/>
    <x v="11"/>
    <x v="1"/>
    <x v="7"/>
    <x v="1"/>
    <m/>
  </r>
  <r>
    <x v="3"/>
    <d v="2025-12-07T00:00:00"/>
    <x v="3"/>
    <n v="12"/>
    <s v="MANANTIALES"/>
    <x v="1"/>
    <x v="88"/>
    <x v="18"/>
    <x v="21"/>
    <x v="0"/>
    <x v="7"/>
    <x v="1"/>
    <m/>
  </r>
  <r>
    <x v="3"/>
    <d v="2025-12-07T00:00:00"/>
    <x v="3"/>
    <n v="12"/>
    <s v="MANANTIALES"/>
    <x v="1"/>
    <x v="88"/>
    <x v="19"/>
    <x v="1"/>
    <x v="3"/>
    <x v="6"/>
    <x v="2"/>
    <m/>
  </r>
  <r>
    <x v="3"/>
    <d v="2025-12-07T00:00:00"/>
    <x v="3"/>
    <n v="12"/>
    <s v="MANANTIALES"/>
    <x v="1"/>
    <x v="88"/>
    <x v="8"/>
    <x v="1"/>
    <x v="3"/>
    <x v="6"/>
    <x v="2"/>
    <m/>
  </r>
  <r>
    <x v="3"/>
    <d v="2025-12-07T00:00:00"/>
    <x v="3"/>
    <n v="12"/>
    <s v="MANANTIALES"/>
    <x v="1"/>
    <x v="88"/>
    <x v="16"/>
    <x v="1"/>
    <x v="3"/>
    <x v="6"/>
    <x v="2"/>
    <m/>
  </r>
  <r>
    <x v="3"/>
    <d v="2025-12-07T00:00:00"/>
    <x v="3"/>
    <n v="12"/>
    <s v="MANANTIALES"/>
    <x v="1"/>
    <x v="88"/>
    <x v="11"/>
    <x v="16"/>
    <x v="0"/>
    <x v="4"/>
    <x v="0"/>
    <m/>
  </r>
  <r>
    <x v="3"/>
    <d v="2025-12-07T00:00:00"/>
    <x v="3"/>
    <n v="12"/>
    <s v="MANANTIALES"/>
    <x v="1"/>
    <x v="88"/>
    <x v="19"/>
    <x v="1"/>
    <x v="0"/>
    <x v="4"/>
    <x v="0"/>
    <m/>
  </r>
  <r>
    <x v="3"/>
    <d v="2025-12-07T00:00:00"/>
    <x v="3"/>
    <n v="12"/>
    <s v="MANANTIALES"/>
    <x v="1"/>
    <x v="88"/>
    <x v="19"/>
    <x v="16"/>
    <x v="2"/>
    <x v="0"/>
    <x v="0"/>
    <s v="Gol en Propia"/>
  </r>
  <r>
    <x v="3"/>
    <d v="2025-12-07T00:00:00"/>
    <x v="3"/>
    <n v="12"/>
    <s v="MANANTIALES"/>
    <x v="1"/>
    <x v="88"/>
    <x v="11"/>
    <x v="2"/>
    <x v="1"/>
    <x v="6"/>
    <x v="2"/>
    <m/>
  </r>
  <r>
    <x v="3"/>
    <d v="2025-12-07T00:00:00"/>
    <x v="3"/>
    <n v="12"/>
    <s v="MANANTIALES"/>
    <x v="1"/>
    <x v="88"/>
    <x v="11"/>
    <x v="16"/>
    <x v="3"/>
    <x v="6"/>
    <x v="2"/>
    <m/>
  </r>
  <r>
    <x v="3"/>
    <d v="2025-12-07T00:00:00"/>
    <x v="3"/>
    <n v="12"/>
    <s v="MANANTIALES"/>
    <x v="1"/>
    <x v="88"/>
    <x v="11"/>
    <x v="16"/>
    <x v="3"/>
    <x v="6"/>
    <x v="2"/>
    <m/>
  </r>
  <r>
    <x v="3"/>
    <d v="2025-12-07T00:00:00"/>
    <x v="3"/>
    <n v="12"/>
    <s v="MANANTIALES"/>
    <x v="1"/>
    <x v="88"/>
    <x v="8"/>
    <x v="11"/>
    <x v="5"/>
    <x v="5"/>
    <x v="2"/>
    <m/>
  </r>
  <r>
    <x v="3"/>
    <d v="2025-12-07T00:00:00"/>
    <x v="3"/>
    <n v="12"/>
    <s v="MANANTIALES"/>
    <x v="1"/>
    <x v="88"/>
    <x v="9"/>
    <x v="7"/>
    <x v="1"/>
    <x v="6"/>
    <x v="2"/>
    <m/>
  </r>
  <r>
    <x v="3"/>
    <d v="2025-12-07T00:00:00"/>
    <x v="3"/>
    <n v="12"/>
    <s v="MANANTIALES"/>
    <x v="1"/>
    <x v="88"/>
    <x v="0"/>
    <x v="7"/>
    <x v="1"/>
    <x v="6"/>
    <x v="2"/>
    <m/>
  </r>
  <r>
    <x v="3"/>
    <d v="2025-12-07T00:00:00"/>
    <x v="3"/>
    <n v="12"/>
    <s v="MANANTIALES"/>
    <x v="1"/>
    <x v="88"/>
    <x v="12"/>
    <x v="7"/>
    <x v="1"/>
    <x v="6"/>
    <x v="2"/>
    <m/>
  </r>
  <r>
    <x v="3"/>
    <d v="2025-12-07T00:00:00"/>
    <x v="3"/>
    <n v="12"/>
    <s v="MANANTIALES"/>
    <x v="1"/>
    <x v="88"/>
    <x v="11"/>
    <x v="18"/>
    <x v="1"/>
    <x v="6"/>
    <x v="2"/>
    <m/>
  </r>
  <r>
    <x v="3"/>
    <d v="2025-12-07T00:00:00"/>
    <x v="3"/>
    <n v="12"/>
    <s v="MANANTIALES"/>
    <x v="1"/>
    <x v="88"/>
    <x v="16"/>
    <x v="12"/>
    <x v="1"/>
    <x v="5"/>
    <x v="2"/>
    <m/>
  </r>
  <r>
    <x v="3"/>
    <d v="2025-12-07T00:00:00"/>
    <x v="3"/>
    <n v="12"/>
    <s v="MANANTIALES"/>
    <x v="1"/>
    <x v="88"/>
    <x v="11"/>
    <x v="16"/>
    <x v="5"/>
    <x v="6"/>
    <x v="2"/>
    <m/>
  </r>
  <r>
    <x v="3"/>
    <d v="2025-12-07T00:00:00"/>
    <x v="3"/>
    <n v="12"/>
    <s v="MANANTIALES"/>
    <x v="1"/>
    <x v="88"/>
    <x v="11"/>
    <x v="22"/>
    <x v="2"/>
    <x v="6"/>
    <x v="2"/>
    <m/>
  </r>
  <r>
    <x v="3"/>
    <d v="2025-12-07T00:00:00"/>
    <x v="3"/>
    <n v="12"/>
    <s v="MANANTIALES"/>
    <x v="1"/>
    <x v="88"/>
    <x v="11"/>
    <x v="16"/>
    <x v="3"/>
    <x v="6"/>
    <x v="2"/>
    <m/>
  </r>
  <r>
    <x v="3"/>
    <d v="2025-12-07T00:00:00"/>
    <x v="3"/>
    <n v="12"/>
    <s v="MANANTIALES"/>
    <x v="1"/>
    <x v="88"/>
    <x v="8"/>
    <x v="22"/>
    <x v="2"/>
    <x v="5"/>
    <x v="2"/>
    <m/>
  </r>
  <r>
    <x v="3"/>
    <d v="2025-12-07T00:00:00"/>
    <x v="3"/>
    <n v="12"/>
    <s v="MANANTIALES"/>
    <x v="1"/>
    <x v="88"/>
    <x v="19"/>
    <x v="11"/>
    <x v="5"/>
    <x v="4"/>
    <x v="0"/>
    <m/>
  </r>
  <r>
    <x v="3"/>
    <d v="2025-12-07T00:00:00"/>
    <x v="3"/>
    <n v="12"/>
    <s v="MANANTIALES"/>
    <x v="1"/>
    <x v="88"/>
    <x v="16"/>
    <x v="16"/>
    <x v="0"/>
    <x v="6"/>
    <x v="2"/>
    <m/>
  </r>
  <r>
    <x v="3"/>
    <d v="2025-12-07T00:00:00"/>
    <x v="3"/>
    <n v="12"/>
    <s v="MANANTIALES"/>
    <x v="1"/>
    <x v="88"/>
    <x v="11"/>
    <x v="1"/>
    <x v="1"/>
    <x v="6"/>
    <x v="2"/>
    <m/>
  </r>
  <r>
    <x v="3"/>
    <d v="2025-12-07T00:00:00"/>
    <x v="3"/>
    <n v="12"/>
    <s v="MANANTIALES"/>
    <x v="1"/>
    <x v="88"/>
    <x v="12"/>
    <x v="21"/>
    <x v="1"/>
    <x v="2"/>
    <x v="1"/>
    <m/>
  </r>
  <r>
    <x v="3"/>
    <d v="2025-12-07T00:00:00"/>
    <x v="3"/>
    <n v="12"/>
    <s v="MANANTIALES"/>
    <x v="1"/>
    <x v="88"/>
    <x v="19"/>
    <x v="16"/>
    <x v="3"/>
    <x v="2"/>
    <x v="1"/>
    <m/>
  </r>
  <r>
    <x v="3"/>
    <d v="2025-12-07T00:00:00"/>
    <x v="3"/>
    <n v="12"/>
    <s v="MANANTIALES"/>
    <x v="1"/>
    <x v="88"/>
    <x v="12"/>
    <x v="16"/>
    <x v="3"/>
    <x v="2"/>
    <x v="1"/>
    <m/>
  </r>
  <r>
    <x v="3"/>
    <d v="2025-12-07T00:00:00"/>
    <x v="3"/>
    <n v="12"/>
    <s v="MANANTIALES"/>
    <x v="1"/>
    <x v="88"/>
    <x v="2"/>
    <x v="22"/>
    <x v="3"/>
    <x v="2"/>
    <x v="1"/>
    <m/>
  </r>
  <r>
    <x v="3"/>
    <d v="2025-12-07T00:00:00"/>
    <x v="3"/>
    <n v="12"/>
    <s v="MANANTIALES"/>
    <x v="1"/>
    <x v="88"/>
    <x v="12"/>
    <x v="11"/>
    <x v="1"/>
    <x v="9"/>
    <x v="0"/>
    <m/>
  </r>
  <r>
    <x v="3"/>
    <d v="2025-12-07T00:00:00"/>
    <x v="3"/>
    <n v="12"/>
    <s v="MANANTIALES"/>
    <x v="1"/>
    <x v="91"/>
    <x v="12"/>
    <x v="2"/>
    <x v="1"/>
    <x v="5"/>
    <x v="2"/>
    <m/>
  </r>
  <r>
    <x v="3"/>
    <d v="2025-12-07T00:00:00"/>
    <x v="3"/>
    <n v="12"/>
    <s v="MANANTIALES"/>
    <x v="1"/>
    <x v="91"/>
    <x v="12"/>
    <x v="16"/>
    <x v="2"/>
    <x v="6"/>
    <x v="2"/>
    <m/>
  </r>
  <r>
    <x v="3"/>
    <d v="2025-12-07T00:00:00"/>
    <x v="3"/>
    <n v="12"/>
    <s v="MANANTIALES"/>
    <x v="1"/>
    <x v="91"/>
    <x v="12"/>
    <x v="16"/>
    <x v="3"/>
    <x v="9"/>
    <x v="0"/>
    <m/>
  </r>
  <r>
    <x v="3"/>
    <d v="2025-12-07T00:00:00"/>
    <x v="3"/>
    <n v="12"/>
    <s v="MANANTIALES"/>
    <x v="1"/>
    <x v="91"/>
    <x v="8"/>
    <x v="22"/>
    <x v="2"/>
    <x v="9"/>
    <x v="2"/>
    <m/>
  </r>
  <r>
    <x v="3"/>
    <d v="2025-12-07T00:00:00"/>
    <x v="3"/>
    <n v="12"/>
    <s v="MANANTIALES"/>
    <x v="1"/>
    <x v="91"/>
    <x v="12"/>
    <x v="16"/>
    <x v="3"/>
    <x v="6"/>
    <x v="2"/>
    <m/>
  </r>
  <r>
    <x v="3"/>
    <d v="2025-12-07T00:00:00"/>
    <x v="3"/>
    <n v="12"/>
    <s v="MANANTIALES"/>
    <x v="1"/>
    <x v="91"/>
    <x v="18"/>
    <x v="16"/>
    <x v="3"/>
    <x v="6"/>
    <x v="2"/>
    <m/>
  </r>
  <r>
    <x v="3"/>
    <d v="2025-12-07T00:00:00"/>
    <x v="3"/>
    <n v="12"/>
    <s v="MANANTIALES"/>
    <x v="1"/>
    <x v="91"/>
    <x v="16"/>
    <x v="22"/>
    <x v="2"/>
    <x v="6"/>
    <x v="2"/>
    <m/>
  </r>
  <r>
    <x v="3"/>
    <d v="2025-12-07T00:00:00"/>
    <x v="3"/>
    <n v="12"/>
    <s v="MANANTIALES"/>
    <x v="1"/>
    <x v="91"/>
    <x v="8"/>
    <x v="2"/>
    <x v="2"/>
    <x v="5"/>
    <x v="2"/>
    <m/>
  </r>
  <r>
    <x v="3"/>
    <d v="2025-12-07T00:00:00"/>
    <x v="3"/>
    <n v="12"/>
    <s v="MANANTIALES"/>
    <x v="1"/>
    <x v="91"/>
    <x v="11"/>
    <x v="16"/>
    <x v="3"/>
    <x v="6"/>
    <x v="2"/>
    <m/>
  </r>
  <r>
    <x v="3"/>
    <d v="2025-12-07T00:00:00"/>
    <x v="3"/>
    <n v="12"/>
    <s v="MANANTIALES"/>
    <x v="1"/>
    <x v="91"/>
    <x v="2"/>
    <x v="6"/>
    <x v="3"/>
    <x v="7"/>
    <x v="1"/>
    <m/>
  </r>
  <r>
    <x v="3"/>
    <d v="2025-12-07T00:00:00"/>
    <x v="3"/>
    <n v="12"/>
    <s v="MANANTIALES"/>
    <x v="1"/>
    <x v="91"/>
    <x v="12"/>
    <x v="21"/>
    <x v="1"/>
    <x v="7"/>
    <x v="1"/>
    <m/>
  </r>
  <r>
    <x v="3"/>
    <d v="2025-12-07T00:00:00"/>
    <x v="3"/>
    <n v="12"/>
    <s v="MANANTIALES"/>
    <x v="1"/>
    <x v="91"/>
    <x v="0"/>
    <x v="22"/>
    <x v="3"/>
    <x v="7"/>
    <x v="1"/>
    <m/>
  </r>
  <r>
    <x v="3"/>
    <d v="2025-12-07T00:00:00"/>
    <x v="3"/>
    <n v="12"/>
    <s v="MANANTIALES"/>
    <x v="1"/>
    <x v="91"/>
    <x v="0"/>
    <x v="12"/>
    <x v="1"/>
    <x v="7"/>
    <x v="1"/>
    <m/>
  </r>
  <r>
    <x v="3"/>
    <d v="2025-12-07T00:00:00"/>
    <x v="3"/>
    <n v="12"/>
    <s v="MANANTIALES"/>
    <x v="1"/>
    <x v="91"/>
    <x v="11"/>
    <x v="7"/>
    <x v="1"/>
    <x v="6"/>
    <x v="2"/>
    <m/>
  </r>
  <r>
    <x v="3"/>
    <d v="2025-12-07T00:00:00"/>
    <x v="3"/>
    <n v="12"/>
    <s v="MANANTIALES"/>
    <x v="1"/>
    <x v="91"/>
    <x v="11"/>
    <x v="16"/>
    <x v="3"/>
    <x v="6"/>
    <x v="2"/>
    <m/>
  </r>
  <r>
    <x v="3"/>
    <d v="2025-12-07T00:00:00"/>
    <x v="3"/>
    <n v="12"/>
    <s v="MANANTIALES"/>
    <x v="1"/>
    <x v="91"/>
    <x v="11"/>
    <x v="16"/>
    <x v="3"/>
    <x v="6"/>
    <x v="2"/>
    <m/>
  </r>
  <r>
    <x v="3"/>
    <d v="2025-12-07T00:00:00"/>
    <x v="3"/>
    <n v="12"/>
    <s v="MANANTIALES"/>
    <x v="1"/>
    <x v="91"/>
    <x v="12"/>
    <x v="22"/>
    <x v="2"/>
    <x v="6"/>
    <x v="2"/>
    <m/>
  </r>
  <r>
    <x v="3"/>
    <d v="2025-12-07T00:00:00"/>
    <x v="3"/>
    <n v="12"/>
    <s v="MANANTIALES"/>
    <x v="1"/>
    <x v="91"/>
    <x v="12"/>
    <x v="11"/>
    <x v="3"/>
    <x v="6"/>
    <x v="2"/>
    <m/>
  </r>
  <r>
    <x v="3"/>
    <d v="2025-12-07T00:00:00"/>
    <x v="3"/>
    <n v="12"/>
    <s v="MANANTIALES"/>
    <x v="1"/>
    <x v="91"/>
    <x v="10"/>
    <x v="16"/>
    <x v="3"/>
    <x v="5"/>
    <x v="2"/>
    <m/>
  </r>
  <r>
    <x v="3"/>
    <d v="2025-12-07T00:00:00"/>
    <x v="3"/>
    <n v="12"/>
    <s v="MANANTIALES"/>
    <x v="1"/>
    <x v="91"/>
    <x v="11"/>
    <x v="2"/>
    <x v="0"/>
    <x v="7"/>
    <x v="1"/>
    <m/>
  </r>
  <r>
    <x v="3"/>
    <d v="2025-12-07T00:00:00"/>
    <x v="3"/>
    <n v="12"/>
    <s v="MANANTIALES"/>
    <x v="1"/>
    <x v="91"/>
    <x v="0"/>
    <x v="7"/>
    <x v="1"/>
    <x v="7"/>
    <x v="1"/>
    <m/>
  </r>
  <r>
    <x v="3"/>
    <d v="2025-12-07T00:00:00"/>
    <x v="3"/>
    <n v="12"/>
    <s v="MANANTIALES"/>
    <x v="1"/>
    <x v="91"/>
    <x v="2"/>
    <x v="3"/>
    <x v="3"/>
    <x v="7"/>
    <x v="1"/>
    <m/>
  </r>
  <r>
    <x v="3"/>
    <d v="2025-12-07T00:00:00"/>
    <x v="3"/>
    <n v="12"/>
    <s v="MANANTIALES"/>
    <x v="1"/>
    <x v="91"/>
    <x v="11"/>
    <x v="7"/>
    <x v="1"/>
    <x v="7"/>
    <x v="1"/>
    <m/>
  </r>
  <r>
    <x v="3"/>
    <d v="2025-12-07T00:00:00"/>
    <x v="3"/>
    <n v="12"/>
    <s v="MANANTIALES"/>
    <x v="1"/>
    <x v="91"/>
    <x v="2"/>
    <x v="14"/>
    <x v="0"/>
    <x v="7"/>
    <x v="1"/>
    <m/>
  </r>
  <r>
    <x v="3"/>
    <d v="2025-12-07T00:00:00"/>
    <x v="3"/>
    <n v="12"/>
    <s v="MANANTIALES"/>
    <x v="1"/>
    <x v="91"/>
    <x v="10"/>
    <x v="12"/>
    <x v="1"/>
    <x v="7"/>
    <x v="1"/>
    <m/>
  </r>
  <r>
    <x v="3"/>
    <d v="2025-12-07T00:00:00"/>
    <x v="3"/>
    <n v="12"/>
    <s v="MANANTIALES"/>
    <x v="1"/>
    <x v="91"/>
    <x v="11"/>
    <x v="16"/>
    <x v="3"/>
    <x v="6"/>
    <x v="2"/>
    <m/>
  </r>
  <r>
    <x v="3"/>
    <d v="2025-12-07T00:00:00"/>
    <x v="3"/>
    <n v="12"/>
    <s v="MANANTIALES"/>
    <x v="1"/>
    <x v="91"/>
    <x v="12"/>
    <x v="16"/>
    <x v="3"/>
    <x v="6"/>
    <x v="2"/>
    <m/>
  </r>
  <r>
    <x v="3"/>
    <d v="2025-12-07T00:00:00"/>
    <x v="3"/>
    <n v="12"/>
    <s v="MANANTIALES"/>
    <x v="1"/>
    <x v="91"/>
    <x v="10"/>
    <x v="22"/>
    <x v="2"/>
    <x v="7"/>
    <x v="1"/>
    <m/>
  </r>
  <r>
    <x v="3"/>
    <d v="2025-12-07T00:00:00"/>
    <x v="3"/>
    <n v="12"/>
    <s v="MANANTIALES"/>
    <x v="1"/>
    <x v="91"/>
    <x v="8"/>
    <x v="1"/>
    <x v="3"/>
    <x v="5"/>
    <x v="2"/>
    <m/>
  </r>
  <r>
    <x v="3"/>
    <d v="2025-12-07T00:00:00"/>
    <x v="3"/>
    <n v="12"/>
    <s v="MANANTIALES"/>
    <x v="1"/>
    <x v="91"/>
    <x v="12"/>
    <x v="21"/>
    <x v="1"/>
    <x v="7"/>
    <x v="1"/>
    <m/>
  </r>
  <r>
    <x v="3"/>
    <d v="2025-12-07T00:00:00"/>
    <x v="3"/>
    <n v="12"/>
    <s v="MANANTIALES"/>
    <x v="1"/>
    <x v="91"/>
    <x v="11"/>
    <x v="14"/>
    <x v="4"/>
    <x v="9"/>
    <x v="2"/>
    <m/>
  </r>
  <r>
    <x v="3"/>
    <d v="2025-12-07T00:00:00"/>
    <x v="3"/>
    <n v="12"/>
    <s v="MANANTIALES"/>
    <x v="1"/>
    <x v="91"/>
    <x v="18"/>
    <x v="9"/>
    <x v="0"/>
    <x v="0"/>
    <x v="0"/>
    <m/>
  </r>
  <r>
    <x v="3"/>
    <d v="2025-12-07T00:00:00"/>
    <x v="3"/>
    <n v="12"/>
    <s v="MANANTIALES"/>
    <x v="1"/>
    <x v="91"/>
    <x v="19"/>
    <x v="1"/>
    <x v="3"/>
    <x v="4"/>
    <x v="0"/>
    <m/>
  </r>
  <r>
    <x v="3"/>
    <d v="2025-12-07T00:00:00"/>
    <x v="3"/>
    <n v="12"/>
    <s v="MANANTIALES"/>
    <x v="1"/>
    <x v="91"/>
    <x v="19"/>
    <x v="8"/>
    <x v="1"/>
    <x v="4"/>
    <x v="0"/>
    <s v="Amarilla "/>
  </r>
  <r>
    <x v="3"/>
    <d v="2025-12-07T00:00:00"/>
    <x v="3"/>
    <n v="12"/>
    <s v="MANANTIALES"/>
    <x v="1"/>
    <x v="91"/>
    <x v="8"/>
    <x v="1"/>
    <x v="1"/>
    <x v="5"/>
    <x v="2"/>
    <m/>
  </r>
  <r>
    <x v="3"/>
    <d v="2025-12-07T00:00:00"/>
    <x v="3"/>
    <n v="12"/>
    <s v="MANANTIALES"/>
    <x v="1"/>
    <x v="91"/>
    <x v="8"/>
    <x v="7"/>
    <x v="1"/>
    <x v="5"/>
    <x v="2"/>
    <m/>
  </r>
  <r>
    <x v="3"/>
    <d v="2025-12-07T00:00:00"/>
    <x v="3"/>
    <n v="12"/>
    <s v="MANANTIALES"/>
    <x v="1"/>
    <x v="91"/>
    <x v="8"/>
    <x v="2"/>
    <x v="0"/>
    <x v="6"/>
    <x v="2"/>
    <m/>
  </r>
  <r>
    <x v="3"/>
    <d v="2025-12-07T00:00:00"/>
    <x v="3"/>
    <n v="12"/>
    <s v="MANANTIALES"/>
    <x v="1"/>
    <x v="91"/>
    <x v="16"/>
    <x v="22"/>
    <x v="1"/>
    <x v="5"/>
    <x v="2"/>
    <m/>
  </r>
  <r>
    <x v="3"/>
    <d v="2025-12-07T00:00:00"/>
    <x v="3"/>
    <n v="12"/>
    <s v="MANANTIALES"/>
    <x v="1"/>
    <x v="91"/>
    <x v="0"/>
    <x v="16"/>
    <x v="3"/>
    <x v="9"/>
    <x v="2"/>
    <m/>
  </r>
  <r>
    <x v="3"/>
    <d v="2025-12-07T00:00:00"/>
    <x v="3"/>
    <n v="12"/>
    <s v="MANANTIALES"/>
    <x v="1"/>
    <x v="91"/>
    <x v="11"/>
    <x v="7"/>
    <x v="1"/>
    <x v="6"/>
    <x v="2"/>
    <m/>
  </r>
  <r>
    <x v="3"/>
    <d v="2025-12-07T00:00:00"/>
    <x v="3"/>
    <n v="12"/>
    <s v="MANANTIALES"/>
    <x v="1"/>
    <x v="91"/>
    <x v="11"/>
    <x v="1"/>
    <x v="3"/>
    <x v="6"/>
    <x v="2"/>
    <m/>
  </r>
  <r>
    <x v="3"/>
    <d v="2025-12-07T00:00:00"/>
    <x v="3"/>
    <n v="12"/>
    <s v="MANANTIALES"/>
    <x v="1"/>
    <x v="91"/>
    <x v="11"/>
    <x v="11"/>
    <x v="1"/>
    <x v="6"/>
    <x v="2"/>
    <m/>
  </r>
  <r>
    <x v="3"/>
    <d v="2025-12-07T00:00:00"/>
    <x v="3"/>
    <n v="12"/>
    <s v="MANANTIALES"/>
    <x v="1"/>
    <x v="91"/>
    <x v="16"/>
    <x v="17"/>
    <x v="3"/>
    <x v="5"/>
    <x v="2"/>
    <m/>
  </r>
  <r>
    <x v="3"/>
    <d v="2025-12-07T00:00:00"/>
    <x v="3"/>
    <n v="12"/>
    <s v="MANANTIALES"/>
    <x v="1"/>
    <x v="91"/>
    <x v="16"/>
    <x v="7"/>
    <x v="1"/>
    <x v="5"/>
    <x v="2"/>
    <m/>
  </r>
  <r>
    <x v="3"/>
    <d v="2025-12-07T00:00:00"/>
    <x v="3"/>
    <n v="12"/>
    <s v="MANANTIALES"/>
    <x v="1"/>
    <x v="91"/>
    <x v="0"/>
    <x v="1"/>
    <x v="3"/>
    <x v="6"/>
    <x v="2"/>
    <m/>
  </r>
  <r>
    <x v="3"/>
    <d v="2025-12-07T00:00:00"/>
    <x v="3"/>
    <n v="12"/>
    <s v="MANANTIALES"/>
    <x v="1"/>
    <x v="91"/>
    <x v="0"/>
    <x v="2"/>
    <x v="1"/>
    <x v="6"/>
    <x v="2"/>
    <m/>
  </r>
  <r>
    <x v="3"/>
    <d v="2025-12-07T00:00:00"/>
    <x v="3"/>
    <n v="12"/>
    <s v="MANANTIALES"/>
    <x v="1"/>
    <x v="91"/>
    <x v="16"/>
    <x v="17"/>
    <x v="3"/>
    <x v="7"/>
    <x v="1"/>
    <m/>
  </r>
  <r>
    <x v="3"/>
    <d v="2025-12-07T00:00:00"/>
    <x v="3"/>
    <n v="12"/>
    <s v="MANANTIALES"/>
    <x v="1"/>
    <x v="91"/>
    <x v="16"/>
    <x v="3"/>
    <x v="3"/>
    <x v="7"/>
    <x v="1"/>
    <m/>
  </r>
  <r>
    <x v="3"/>
    <d v="2025-12-07T00:00:00"/>
    <x v="3"/>
    <n v="12"/>
    <s v="MANANTIALES"/>
    <x v="1"/>
    <x v="91"/>
    <x v="16"/>
    <x v="11"/>
    <x v="1"/>
    <x v="7"/>
    <x v="1"/>
    <m/>
  </r>
  <r>
    <x v="3"/>
    <d v="2025-12-07T00:00:00"/>
    <x v="3"/>
    <n v="12"/>
    <s v="MANANTIALES"/>
    <x v="1"/>
    <x v="91"/>
    <x v="12"/>
    <x v="21"/>
    <x v="1"/>
    <x v="7"/>
    <x v="1"/>
    <m/>
  </r>
  <r>
    <x v="3"/>
    <d v="2025-12-07T00:00:00"/>
    <x v="3"/>
    <n v="12"/>
    <s v="MANANTIALES"/>
    <x v="1"/>
    <x v="91"/>
    <x v="10"/>
    <x v="6"/>
    <x v="0"/>
    <x v="7"/>
    <x v="1"/>
    <m/>
  </r>
  <r>
    <x v="3"/>
    <d v="2025-12-07T00:00:00"/>
    <x v="3"/>
    <n v="12"/>
    <s v="MANANTIALES"/>
    <x v="1"/>
    <x v="89"/>
    <x v="11"/>
    <x v="9"/>
    <x v="1"/>
    <x v="5"/>
    <x v="2"/>
    <m/>
  </r>
  <r>
    <x v="3"/>
    <d v="2025-12-07T00:00:00"/>
    <x v="3"/>
    <n v="12"/>
    <s v="MANANTIALES"/>
    <x v="1"/>
    <x v="89"/>
    <x v="10"/>
    <x v="9"/>
    <x v="0"/>
    <x v="7"/>
    <x v="1"/>
    <m/>
  </r>
  <r>
    <x v="3"/>
    <d v="2025-12-07T00:00:00"/>
    <x v="3"/>
    <n v="12"/>
    <s v="MANANTIALES"/>
    <x v="1"/>
    <x v="89"/>
    <x v="16"/>
    <x v="16"/>
    <x v="3"/>
    <x v="4"/>
    <x v="0"/>
    <m/>
  </r>
  <r>
    <x v="3"/>
    <d v="2025-12-07T00:00:00"/>
    <x v="3"/>
    <n v="12"/>
    <s v="MANANTIALES"/>
    <x v="1"/>
    <x v="89"/>
    <x v="18"/>
    <x v="11"/>
    <x v="1"/>
    <x v="6"/>
    <x v="2"/>
    <m/>
  </r>
  <r>
    <x v="3"/>
    <d v="2025-12-07T00:00:00"/>
    <x v="3"/>
    <n v="12"/>
    <s v="MANANTIALES"/>
    <x v="1"/>
    <x v="89"/>
    <x v="10"/>
    <x v="22"/>
    <x v="1"/>
    <x v="2"/>
    <x v="1"/>
    <m/>
  </r>
  <r>
    <x v="3"/>
    <d v="2025-12-07T00:00:00"/>
    <x v="3"/>
    <n v="12"/>
    <s v="MANANTIALES"/>
    <x v="1"/>
    <x v="89"/>
    <x v="16"/>
    <x v="7"/>
    <x v="0"/>
    <x v="11"/>
    <x v="2"/>
    <m/>
  </r>
  <r>
    <x v="3"/>
    <d v="2025-12-07T00:00:00"/>
    <x v="3"/>
    <n v="12"/>
    <s v="MANANTIALES"/>
    <x v="1"/>
    <x v="89"/>
    <x v="18"/>
    <x v="7"/>
    <x v="0"/>
    <x v="9"/>
    <x v="1"/>
    <m/>
  </r>
  <r>
    <x v="3"/>
    <d v="2025-12-07T00:00:00"/>
    <x v="3"/>
    <n v="12"/>
    <s v="MANANTIALES"/>
    <x v="1"/>
    <x v="89"/>
    <x v="10"/>
    <x v="6"/>
    <x v="0"/>
    <x v="7"/>
    <x v="1"/>
    <m/>
  </r>
  <r>
    <x v="3"/>
    <d v="2025-12-07T00:00:00"/>
    <x v="3"/>
    <n v="12"/>
    <s v="MANANTIALES"/>
    <x v="1"/>
    <x v="89"/>
    <x v="10"/>
    <x v="6"/>
    <x v="0"/>
    <x v="11"/>
    <x v="1"/>
    <m/>
  </r>
  <r>
    <x v="3"/>
    <d v="2025-12-07T00:00:00"/>
    <x v="3"/>
    <n v="12"/>
    <s v="MANANTIALES"/>
    <x v="1"/>
    <x v="89"/>
    <x v="3"/>
    <x v="12"/>
    <x v="3"/>
    <x v="7"/>
    <x v="1"/>
    <m/>
  </r>
  <r>
    <x v="3"/>
    <d v="2025-12-07T00:00:00"/>
    <x v="3"/>
    <n v="12"/>
    <s v="MANANTIALES"/>
    <x v="1"/>
    <x v="89"/>
    <x v="18"/>
    <x v="1"/>
    <x v="3"/>
    <x v="6"/>
    <x v="2"/>
    <m/>
  </r>
  <r>
    <x v="3"/>
    <d v="2025-12-07T00:00:00"/>
    <x v="3"/>
    <n v="12"/>
    <s v="MANANTIALES"/>
    <x v="1"/>
    <x v="89"/>
    <x v="9"/>
    <x v="1"/>
    <x v="1"/>
    <x v="0"/>
    <x v="0"/>
    <m/>
  </r>
  <r>
    <x v="3"/>
    <d v="2025-12-07T00:00:00"/>
    <x v="3"/>
    <n v="12"/>
    <s v="MANANTIALES"/>
    <x v="1"/>
    <x v="89"/>
    <x v="12"/>
    <x v="2"/>
    <x v="0"/>
    <x v="6"/>
    <x v="2"/>
    <m/>
  </r>
  <r>
    <x v="3"/>
    <d v="2025-12-07T00:00:00"/>
    <x v="3"/>
    <n v="12"/>
    <s v="MANANTIALES"/>
    <x v="1"/>
    <x v="89"/>
    <x v="10"/>
    <x v="8"/>
    <x v="1"/>
    <x v="7"/>
    <x v="1"/>
    <m/>
  </r>
  <r>
    <x v="3"/>
    <d v="2025-12-07T00:00:00"/>
    <x v="3"/>
    <n v="12"/>
    <s v="MANANTIALES"/>
    <x v="1"/>
    <x v="89"/>
    <x v="9"/>
    <x v="16"/>
    <x v="2"/>
    <x v="9"/>
    <x v="0"/>
    <m/>
  </r>
  <r>
    <x v="3"/>
    <d v="2025-12-07T00:00:00"/>
    <x v="3"/>
    <n v="12"/>
    <s v="MANANTIALES"/>
    <x v="1"/>
    <x v="89"/>
    <x v="9"/>
    <x v="16"/>
    <x v="2"/>
    <x v="0"/>
    <x v="0"/>
    <m/>
  </r>
  <r>
    <x v="3"/>
    <d v="2025-12-07T00:00:00"/>
    <x v="3"/>
    <n v="12"/>
    <s v="MANANTIALES"/>
    <x v="1"/>
    <x v="89"/>
    <x v="18"/>
    <x v="16"/>
    <x v="3"/>
    <x v="7"/>
    <x v="1"/>
    <m/>
  </r>
  <r>
    <x v="3"/>
    <d v="2025-12-07T00:00:00"/>
    <x v="3"/>
    <n v="12"/>
    <s v="MANANTIALES"/>
    <x v="1"/>
    <x v="89"/>
    <x v="18"/>
    <x v="12"/>
    <x v="1"/>
    <x v="5"/>
    <x v="2"/>
    <m/>
  </r>
  <r>
    <x v="3"/>
    <d v="2025-12-07T00:00:00"/>
    <x v="3"/>
    <n v="12"/>
    <s v="MANANTIALES"/>
    <x v="1"/>
    <x v="89"/>
    <x v="10"/>
    <x v="16"/>
    <x v="2"/>
    <x v="5"/>
    <x v="2"/>
    <m/>
  </r>
  <r>
    <x v="3"/>
    <d v="2025-12-07T00:00:00"/>
    <x v="3"/>
    <n v="12"/>
    <s v="MANANTIALES"/>
    <x v="1"/>
    <x v="89"/>
    <x v="2"/>
    <x v="9"/>
    <x v="1"/>
    <x v="11"/>
    <x v="1"/>
    <m/>
  </r>
  <r>
    <x v="3"/>
    <d v="2025-12-07T00:00:00"/>
    <x v="3"/>
    <n v="12"/>
    <s v="MANANTIALES"/>
    <x v="1"/>
    <x v="89"/>
    <x v="18"/>
    <x v="16"/>
    <x v="3"/>
    <x v="7"/>
    <x v="1"/>
    <m/>
  </r>
  <r>
    <x v="3"/>
    <d v="2025-12-07T00:00:00"/>
    <x v="3"/>
    <n v="12"/>
    <s v="MANANTIALES"/>
    <x v="1"/>
    <x v="89"/>
    <x v="18"/>
    <x v="3"/>
    <x v="3"/>
    <x v="7"/>
    <x v="1"/>
    <m/>
  </r>
  <r>
    <x v="3"/>
    <d v="2025-12-07T00:00:00"/>
    <x v="3"/>
    <n v="12"/>
    <s v="MANANTIALES"/>
    <x v="1"/>
    <x v="89"/>
    <x v="16"/>
    <x v="16"/>
    <x v="3"/>
    <x v="4"/>
    <x v="0"/>
    <m/>
  </r>
  <r>
    <x v="3"/>
    <d v="2025-12-07T00:00:00"/>
    <x v="3"/>
    <n v="12"/>
    <s v="MANANTIALES"/>
    <x v="1"/>
    <x v="89"/>
    <x v="8"/>
    <x v="17"/>
    <x v="2"/>
    <x v="10"/>
    <x v="2"/>
    <m/>
  </r>
  <r>
    <x v="3"/>
    <d v="2025-12-07T00:00:00"/>
    <x v="3"/>
    <n v="12"/>
    <s v="MANANTIALES"/>
    <x v="1"/>
    <x v="89"/>
    <x v="18"/>
    <x v="5"/>
    <x v="3"/>
    <x v="1"/>
    <x v="0"/>
    <m/>
  </r>
  <r>
    <x v="3"/>
    <d v="2025-12-07T00:00:00"/>
    <x v="3"/>
    <n v="12"/>
    <s v="MANANTIALES"/>
    <x v="1"/>
    <x v="89"/>
    <x v="8"/>
    <x v="17"/>
    <x v="2"/>
    <x v="6"/>
    <x v="2"/>
    <m/>
  </r>
  <r>
    <x v="3"/>
    <d v="2025-12-07T00:00:00"/>
    <x v="3"/>
    <n v="12"/>
    <s v="MANANTIALES"/>
    <x v="1"/>
    <x v="89"/>
    <x v="10"/>
    <x v="7"/>
    <x v="0"/>
    <x v="3"/>
    <x v="2"/>
    <m/>
  </r>
  <r>
    <x v="3"/>
    <d v="2025-12-07T00:00:00"/>
    <x v="3"/>
    <n v="12"/>
    <s v="MANANTIALES"/>
    <x v="1"/>
    <x v="89"/>
    <x v="10"/>
    <x v="2"/>
    <x v="0"/>
    <x v="3"/>
    <x v="2"/>
    <m/>
  </r>
  <r>
    <x v="3"/>
    <d v="2025-12-07T00:00:00"/>
    <x v="3"/>
    <n v="12"/>
    <s v="MANANTIALES"/>
    <x v="1"/>
    <x v="89"/>
    <x v="3"/>
    <x v="8"/>
    <x v="1"/>
    <x v="7"/>
    <x v="1"/>
    <m/>
  </r>
  <r>
    <x v="3"/>
    <d v="2025-12-07T00:00:00"/>
    <x v="3"/>
    <n v="12"/>
    <s v="MANANTIALES"/>
    <x v="1"/>
    <x v="89"/>
    <x v="16"/>
    <x v="1"/>
    <x v="0"/>
    <x v="4"/>
    <x v="0"/>
    <m/>
  </r>
  <r>
    <x v="3"/>
    <d v="2025-12-07T00:00:00"/>
    <x v="3"/>
    <n v="12"/>
    <s v="MANANTIALES"/>
    <x v="1"/>
    <x v="89"/>
    <x v="12"/>
    <x v="16"/>
    <x v="3"/>
    <x v="9"/>
    <x v="0"/>
    <m/>
  </r>
  <r>
    <x v="3"/>
    <d v="2025-12-07T00:00:00"/>
    <x v="3"/>
    <n v="12"/>
    <s v="MANANTIALES"/>
    <x v="1"/>
    <x v="89"/>
    <x v="12"/>
    <x v="22"/>
    <x v="3"/>
    <x v="9"/>
    <x v="2"/>
    <m/>
  </r>
  <r>
    <x v="3"/>
    <d v="2025-12-07T00:00:00"/>
    <x v="3"/>
    <n v="12"/>
    <s v="MANANTIALES"/>
    <x v="1"/>
    <x v="89"/>
    <x v="2"/>
    <x v="16"/>
    <x v="2"/>
    <x v="3"/>
    <x v="2"/>
    <m/>
  </r>
  <r>
    <x v="3"/>
    <d v="2025-12-07T00:00:00"/>
    <x v="3"/>
    <n v="12"/>
    <s v="MANANTIALES"/>
    <x v="1"/>
    <x v="93"/>
    <x v="16"/>
    <x v="1"/>
    <x v="3"/>
    <x v="4"/>
    <x v="0"/>
    <m/>
  </r>
  <r>
    <x v="3"/>
    <d v="2025-12-07T00:00:00"/>
    <x v="3"/>
    <n v="12"/>
    <s v="MANANTIALES"/>
    <x v="1"/>
    <x v="93"/>
    <x v="16"/>
    <x v="6"/>
    <x v="3"/>
    <x v="4"/>
    <x v="0"/>
    <m/>
  </r>
  <r>
    <x v="3"/>
    <d v="2025-12-07T00:00:00"/>
    <x v="3"/>
    <n v="12"/>
    <s v="MANANTIALES"/>
    <x v="1"/>
    <x v="93"/>
    <x v="16"/>
    <x v="11"/>
    <x v="3"/>
    <x v="4"/>
    <x v="0"/>
    <m/>
  </r>
  <r>
    <x v="3"/>
    <d v="2025-12-07T00:00:00"/>
    <x v="3"/>
    <n v="12"/>
    <s v="MANANTIALES"/>
    <x v="1"/>
    <x v="93"/>
    <x v="3"/>
    <x v="16"/>
    <x v="3"/>
    <x v="7"/>
    <x v="1"/>
    <m/>
  </r>
  <r>
    <x v="3"/>
    <d v="2025-12-07T00:00:00"/>
    <x v="3"/>
    <n v="12"/>
    <s v="MANANTIALES"/>
    <x v="1"/>
    <x v="93"/>
    <x v="3"/>
    <x v="6"/>
    <x v="1"/>
    <x v="10"/>
    <x v="2"/>
    <m/>
  </r>
  <r>
    <x v="3"/>
    <d v="2025-12-07T00:00:00"/>
    <x v="3"/>
    <n v="12"/>
    <s v="MANANTIALES"/>
    <x v="1"/>
    <x v="93"/>
    <x v="10"/>
    <x v="7"/>
    <x v="1"/>
    <x v="11"/>
    <x v="2"/>
    <m/>
  </r>
  <r>
    <x v="3"/>
    <d v="2025-12-07T00:00:00"/>
    <x v="3"/>
    <n v="12"/>
    <s v="MANANTIALES"/>
    <x v="1"/>
    <x v="93"/>
    <x v="12"/>
    <x v="6"/>
    <x v="3"/>
    <x v="3"/>
    <x v="2"/>
    <m/>
  </r>
  <r>
    <x v="3"/>
    <d v="2025-12-07T00:00:00"/>
    <x v="3"/>
    <n v="12"/>
    <s v="MANANTIALES"/>
    <x v="1"/>
    <x v="93"/>
    <x v="0"/>
    <x v="7"/>
    <x v="1"/>
    <x v="6"/>
    <x v="2"/>
    <m/>
  </r>
  <r>
    <x v="3"/>
    <d v="2025-12-07T00:00:00"/>
    <x v="3"/>
    <n v="12"/>
    <s v="MANANTIALES"/>
    <x v="1"/>
    <x v="93"/>
    <x v="18"/>
    <x v="7"/>
    <x v="1"/>
    <x v="6"/>
    <x v="2"/>
    <m/>
  </r>
  <r>
    <x v="3"/>
    <d v="2025-12-07T00:00:00"/>
    <x v="3"/>
    <n v="12"/>
    <s v="MANANTIALES"/>
    <x v="1"/>
    <x v="93"/>
    <x v="12"/>
    <x v="7"/>
    <x v="1"/>
    <x v="6"/>
    <x v="2"/>
    <m/>
  </r>
  <r>
    <x v="3"/>
    <d v="2025-12-07T00:00:00"/>
    <x v="3"/>
    <n v="12"/>
    <s v="MANANTIALES"/>
    <x v="1"/>
    <x v="93"/>
    <x v="2"/>
    <x v="8"/>
    <x v="1"/>
    <x v="10"/>
    <x v="2"/>
    <m/>
  </r>
  <r>
    <x v="3"/>
    <d v="2025-12-07T00:00:00"/>
    <x v="3"/>
    <n v="12"/>
    <s v="MANANTIALES"/>
    <x v="1"/>
    <x v="93"/>
    <x v="18"/>
    <x v="16"/>
    <x v="3"/>
    <x v="1"/>
    <x v="0"/>
    <m/>
  </r>
  <r>
    <x v="3"/>
    <d v="2025-12-07T00:00:00"/>
    <x v="3"/>
    <n v="12"/>
    <s v="MANANTIALES"/>
    <x v="1"/>
    <x v="93"/>
    <x v="10"/>
    <x v="22"/>
    <x v="3"/>
    <x v="6"/>
    <x v="2"/>
    <m/>
  </r>
  <r>
    <x v="3"/>
    <d v="2025-12-07T00:00:00"/>
    <x v="3"/>
    <n v="12"/>
    <s v="MANANTIALES"/>
    <x v="1"/>
    <x v="93"/>
    <x v="11"/>
    <x v="16"/>
    <x v="3"/>
    <x v="5"/>
    <x v="2"/>
    <m/>
  </r>
  <r>
    <x v="3"/>
    <d v="2025-12-07T00:00:00"/>
    <x v="3"/>
    <n v="12"/>
    <s v="MANANTIALES"/>
    <x v="1"/>
    <x v="93"/>
    <x v="12"/>
    <x v="7"/>
    <x v="1"/>
    <x v="3"/>
    <x v="2"/>
    <m/>
  </r>
  <r>
    <x v="3"/>
    <d v="2025-12-07T00:00:00"/>
    <x v="3"/>
    <n v="12"/>
    <s v="MANANTIALES"/>
    <x v="1"/>
    <x v="93"/>
    <x v="10"/>
    <x v="7"/>
    <x v="1"/>
    <x v="11"/>
    <x v="2"/>
    <m/>
  </r>
  <r>
    <x v="3"/>
    <d v="2025-12-07T00:00:00"/>
    <x v="3"/>
    <n v="12"/>
    <s v="MANANTIALES"/>
    <x v="1"/>
    <x v="93"/>
    <x v="8"/>
    <x v="22"/>
    <x v="3"/>
    <x v="11"/>
    <x v="2"/>
    <m/>
  </r>
  <r>
    <x v="3"/>
    <d v="2025-12-07T00:00:00"/>
    <x v="3"/>
    <n v="12"/>
    <s v="MANANTIALES"/>
    <x v="1"/>
    <x v="93"/>
    <x v="8"/>
    <x v="14"/>
    <x v="3"/>
    <x v="9"/>
    <x v="1"/>
    <m/>
  </r>
  <r>
    <x v="3"/>
    <d v="2025-12-07T00:00:00"/>
    <x v="3"/>
    <n v="12"/>
    <s v="MANANTIALES"/>
    <x v="1"/>
    <x v="93"/>
    <x v="3"/>
    <x v="21"/>
    <x v="0"/>
    <x v="11"/>
    <x v="1"/>
    <m/>
  </r>
  <r>
    <x v="3"/>
    <d v="2025-12-07T00:00:00"/>
    <x v="3"/>
    <n v="12"/>
    <s v="MANANTIALES"/>
    <x v="1"/>
    <x v="93"/>
    <x v="16"/>
    <x v="17"/>
    <x v="3"/>
    <x v="4"/>
    <x v="0"/>
    <m/>
  </r>
  <r>
    <x v="3"/>
    <d v="2025-12-07T00:00:00"/>
    <x v="3"/>
    <n v="12"/>
    <s v="MANANTIALES"/>
    <x v="1"/>
    <x v="93"/>
    <x v="18"/>
    <x v="16"/>
    <x v="0"/>
    <x v="0"/>
    <x v="0"/>
    <m/>
  </r>
  <r>
    <x v="3"/>
    <d v="2025-12-07T00:00:00"/>
    <x v="3"/>
    <n v="12"/>
    <s v="MANANTIALES"/>
    <x v="1"/>
    <x v="93"/>
    <x v="9"/>
    <x v="16"/>
    <x v="3"/>
    <x v="0"/>
    <x v="0"/>
    <m/>
  </r>
  <r>
    <x v="3"/>
    <d v="2025-12-07T00:00:00"/>
    <x v="3"/>
    <n v="12"/>
    <s v="MANANTIALES"/>
    <x v="1"/>
    <x v="93"/>
    <x v="20"/>
    <x v="16"/>
    <x v="3"/>
    <x v="2"/>
    <x v="1"/>
    <m/>
  </r>
  <r>
    <x v="3"/>
    <d v="2025-12-07T00:00:00"/>
    <x v="3"/>
    <n v="12"/>
    <s v="MANANTIALES"/>
    <x v="1"/>
    <x v="93"/>
    <x v="18"/>
    <x v="22"/>
    <x v="3"/>
    <x v="2"/>
    <x v="1"/>
    <m/>
  </r>
  <r>
    <x v="3"/>
    <d v="2025-12-07T00:00:00"/>
    <x v="3"/>
    <n v="12"/>
    <s v="MANANTIALES"/>
    <x v="1"/>
    <x v="93"/>
    <x v="18"/>
    <x v="14"/>
    <x v="3"/>
    <x v="2"/>
    <x v="1"/>
    <m/>
  </r>
  <r>
    <x v="3"/>
    <d v="2025-12-07T00:00:00"/>
    <x v="3"/>
    <n v="12"/>
    <s v="MANANTIALES"/>
    <x v="1"/>
    <x v="93"/>
    <x v="3"/>
    <x v="21"/>
    <x v="1"/>
    <x v="7"/>
    <x v="1"/>
    <m/>
  </r>
  <r>
    <x v="3"/>
    <d v="2025-12-07T00:00:00"/>
    <x v="3"/>
    <n v="12"/>
    <s v="MANANTIALES"/>
    <x v="1"/>
    <x v="93"/>
    <x v="3"/>
    <x v="6"/>
    <x v="3"/>
    <x v="2"/>
    <x v="1"/>
    <m/>
  </r>
  <r>
    <x v="3"/>
    <d v="2025-12-07T00:00:00"/>
    <x v="3"/>
    <n v="12"/>
    <s v="MANANTIALES"/>
    <x v="1"/>
    <x v="93"/>
    <x v="11"/>
    <x v="16"/>
    <x v="3"/>
    <x v="4"/>
    <x v="0"/>
    <m/>
  </r>
  <r>
    <x v="3"/>
    <d v="2025-12-07T00:00:00"/>
    <x v="3"/>
    <n v="12"/>
    <s v="MANANTIALES"/>
    <x v="1"/>
    <x v="93"/>
    <x v="12"/>
    <x v="17"/>
    <x v="2"/>
    <x v="6"/>
    <x v="2"/>
    <m/>
  </r>
  <r>
    <x v="3"/>
    <d v="2025-12-07T00:00:00"/>
    <x v="3"/>
    <n v="12"/>
    <s v="MANANTIALES"/>
    <x v="1"/>
    <x v="93"/>
    <x v="10"/>
    <x v="6"/>
    <x v="3"/>
    <x v="11"/>
    <x v="1"/>
    <m/>
  </r>
  <r>
    <x v="3"/>
    <d v="2025-12-07T00:00:00"/>
    <x v="3"/>
    <n v="12"/>
    <s v="MANANTIALES"/>
    <x v="1"/>
    <x v="93"/>
    <x v="10"/>
    <x v="19"/>
    <x v="3"/>
    <x v="11"/>
    <x v="1"/>
    <m/>
  </r>
  <r>
    <x v="3"/>
    <d v="2025-12-07T00:00:00"/>
    <x v="3"/>
    <n v="12"/>
    <s v="MANANTIALES"/>
    <x v="1"/>
    <x v="93"/>
    <x v="8"/>
    <x v="22"/>
    <x v="3"/>
    <x v="11"/>
    <x v="2"/>
    <m/>
  </r>
  <r>
    <x v="3"/>
    <d v="2025-12-07T00:00:00"/>
    <x v="3"/>
    <n v="12"/>
    <s v="MANANTIALES"/>
    <x v="1"/>
    <x v="93"/>
    <x v="8"/>
    <x v="14"/>
    <x v="3"/>
    <x v="9"/>
    <x v="1"/>
    <m/>
  </r>
  <r>
    <x v="3"/>
    <d v="2025-12-07T00:00:00"/>
    <x v="3"/>
    <n v="12"/>
    <s v="MANANTIALES"/>
    <x v="1"/>
    <x v="93"/>
    <x v="11"/>
    <x v="20"/>
    <x v="3"/>
    <x v="11"/>
    <x v="2"/>
    <m/>
  </r>
  <r>
    <x v="3"/>
    <d v="2025-12-07T00:00:00"/>
    <x v="3"/>
    <n v="12"/>
    <s v="MANANTIALES"/>
    <x v="1"/>
    <x v="93"/>
    <x v="8"/>
    <x v="6"/>
    <x v="3"/>
    <x v="11"/>
    <x v="2"/>
    <m/>
  </r>
  <r>
    <x v="3"/>
    <d v="2025-12-07T00:00:00"/>
    <x v="3"/>
    <n v="12"/>
    <s v="MANANTIALES"/>
    <x v="1"/>
    <x v="93"/>
    <x v="8"/>
    <x v="11"/>
    <x v="3"/>
    <x v="11"/>
    <x v="2"/>
    <m/>
  </r>
  <r>
    <x v="3"/>
    <d v="2025-12-07T00:00:00"/>
    <x v="3"/>
    <n v="12"/>
    <s v="MANANTIALES"/>
    <x v="1"/>
    <x v="93"/>
    <x v="8"/>
    <x v="1"/>
    <x v="3"/>
    <x v="11"/>
    <x v="2"/>
    <m/>
  </r>
  <r>
    <x v="3"/>
    <d v="2025-12-07T00:00:00"/>
    <x v="3"/>
    <n v="12"/>
    <s v="MANANTIALES"/>
    <x v="1"/>
    <x v="93"/>
    <x v="3"/>
    <x v="21"/>
    <x v="0"/>
    <x v="11"/>
    <x v="1"/>
    <m/>
  </r>
  <r>
    <x v="3"/>
    <d v="2025-12-07T00:00:00"/>
    <x v="3"/>
    <n v="12"/>
    <s v="MANANTIALES"/>
    <x v="1"/>
    <x v="93"/>
    <x v="3"/>
    <x v="1"/>
    <x v="3"/>
    <x v="11"/>
    <x v="2"/>
    <m/>
  </r>
  <r>
    <x v="3"/>
    <d v="2025-12-07T00:00:00"/>
    <x v="3"/>
    <n v="12"/>
    <s v="MANANTIALES"/>
    <x v="1"/>
    <x v="93"/>
    <x v="12"/>
    <x v="1"/>
    <x v="3"/>
    <x v="11"/>
    <x v="2"/>
    <m/>
  </r>
  <r>
    <x v="3"/>
    <d v="2025-12-07T00:00:00"/>
    <x v="3"/>
    <n v="12"/>
    <s v="MANANTIALES"/>
    <x v="1"/>
    <x v="93"/>
    <x v="12"/>
    <x v="2"/>
    <x v="3"/>
    <x v="11"/>
    <x v="2"/>
    <m/>
  </r>
  <r>
    <x v="3"/>
    <d v="2025-12-07T00:00:00"/>
    <x v="3"/>
    <n v="12"/>
    <s v="MANANTIALES"/>
    <x v="1"/>
    <x v="93"/>
    <x v="20"/>
    <x v="16"/>
    <x v="0"/>
    <x v="7"/>
    <x v="1"/>
    <m/>
  </r>
  <r>
    <x v="3"/>
    <d v="2025-12-07T00:00:00"/>
    <x v="3"/>
    <n v="12"/>
    <s v="MANANTIALES"/>
    <x v="1"/>
    <x v="95"/>
    <x v="10"/>
    <x v="19"/>
    <x v="3"/>
    <x v="7"/>
    <x v="1"/>
    <m/>
  </r>
  <r>
    <x v="3"/>
    <d v="2025-12-07T00:00:00"/>
    <x v="3"/>
    <n v="12"/>
    <s v="MANANTIALES"/>
    <x v="1"/>
    <x v="95"/>
    <x v="11"/>
    <x v="6"/>
    <x v="3"/>
    <x v="7"/>
    <x v="1"/>
    <m/>
  </r>
  <r>
    <x v="3"/>
    <d v="2025-12-07T00:00:00"/>
    <x v="3"/>
    <n v="12"/>
    <s v="MANANTIALES"/>
    <x v="1"/>
    <x v="95"/>
    <x v="3"/>
    <x v="6"/>
    <x v="3"/>
    <x v="7"/>
    <x v="1"/>
    <m/>
  </r>
  <r>
    <x v="3"/>
    <d v="2025-12-07T00:00:00"/>
    <x v="3"/>
    <n v="12"/>
    <s v="MANANTIALES"/>
    <x v="1"/>
    <x v="95"/>
    <x v="3"/>
    <x v="12"/>
    <x v="1"/>
    <x v="7"/>
    <x v="1"/>
    <m/>
  </r>
  <r>
    <x v="3"/>
    <d v="2025-12-07T00:00:00"/>
    <x v="3"/>
    <n v="12"/>
    <s v="MANANTIALES"/>
    <x v="1"/>
    <x v="95"/>
    <x v="3"/>
    <x v="14"/>
    <x v="4"/>
    <x v="7"/>
    <x v="1"/>
    <m/>
  </r>
  <r>
    <x v="3"/>
    <d v="2025-12-07T00:00:00"/>
    <x v="3"/>
    <n v="12"/>
    <s v="MANANTIALES"/>
    <x v="1"/>
    <x v="95"/>
    <x v="18"/>
    <x v="16"/>
    <x v="3"/>
    <x v="11"/>
    <x v="0"/>
    <m/>
  </r>
  <r>
    <x v="3"/>
    <d v="2025-12-07T00:00:00"/>
    <x v="3"/>
    <n v="12"/>
    <s v="MANANTIALES"/>
    <x v="1"/>
    <x v="95"/>
    <x v="12"/>
    <x v="7"/>
    <x v="1"/>
    <x v="11"/>
    <x v="2"/>
    <m/>
  </r>
  <r>
    <x v="3"/>
    <d v="2025-12-07T00:00:00"/>
    <x v="3"/>
    <n v="12"/>
    <s v="MANANTIALES"/>
    <x v="1"/>
    <x v="95"/>
    <x v="12"/>
    <x v="6"/>
    <x v="1"/>
    <x v="11"/>
    <x v="2"/>
    <m/>
  </r>
  <r>
    <x v="3"/>
    <d v="2025-12-07T00:00:00"/>
    <x v="3"/>
    <n v="12"/>
    <s v="MANANTIALES"/>
    <x v="1"/>
    <x v="95"/>
    <x v="12"/>
    <x v="2"/>
    <x v="0"/>
    <x v="11"/>
    <x v="2"/>
    <m/>
  </r>
  <r>
    <x v="3"/>
    <d v="2025-12-07T00:00:00"/>
    <x v="3"/>
    <n v="12"/>
    <s v="MANANTIALES"/>
    <x v="1"/>
    <x v="95"/>
    <x v="9"/>
    <x v="16"/>
    <x v="3"/>
    <x v="0"/>
    <x v="0"/>
    <m/>
  </r>
  <r>
    <x v="3"/>
    <d v="2025-12-07T00:00:00"/>
    <x v="3"/>
    <n v="12"/>
    <s v="MANANTIALES"/>
    <x v="1"/>
    <x v="95"/>
    <x v="8"/>
    <x v="18"/>
    <x v="0"/>
    <x v="11"/>
    <x v="2"/>
    <m/>
  </r>
  <r>
    <x v="3"/>
    <d v="2025-12-07T00:00:00"/>
    <x v="3"/>
    <n v="12"/>
    <s v="MANANTIALES"/>
    <x v="1"/>
    <x v="95"/>
    <x v="11"/>
    <x v="12"/>
    <x v="0"/>
    <x v="11"/>
    <x v="2"/>
    <m/>
  </r>
  <r>
    <x v="3"/>
    <d v="2025-12-07T00:00:00"/>
    <x v="3"/>
    <n v="12"/>
    <s v="MANANTIALES"/>
    <x v="1"/>
    <x v="95"/>
    <x v="0"/>
    <x v="16"/>
    <x v="3"/>
    <x v="2"/>
    <x v="1"/>
    <m/>
  </r>
  <r>
    <x v="3"/>
    <d v="2025-12-07T00:00:00"/>
    <x v="3"/>
    <n v="12"/>
    <s v="MANANTIALES"/>
    <x v="1"/>
    <x v="95"/>
    <x v="0"/>
    <x v="16"/>
    <x v="3"/>
    <x v="7"/>
    <x v="1"/>
    <m/>
  </r>
  <r>
    <x v="3"/>
    <d v="2025-12-07T00:00:00"/>
    <x v="3"/>
    <n v="12"/>
    <s v="MANANTIALES"/>
    <x v="1"/>
    <x v="95"/>
    <x v="12"/>
    <x v="22"/>
    <x v="3"/>
    <x v="11"/>
    <x v="2"/>
    <m/>
  </r>
  <r>
    <x v="3"/>
    <d v="2025-12-07T00:00:00"/>
    <x v="3"/>
    <n v="12"/>
    <s v="MANANTIALES"/>
    <x v="1"/>
    <x v="95"/>
    <x v="12"/>
    <x v="11"/>
    <x v="1"/>
    <x v="11"/>
    <x v="2"/>
    <m/>
  </r>
  <r>
    <x v="3"/>
    <d v="2025-12-07T00:00:00"/>
    <x v="3"/>
    <n v="12"/>
    <s v="MANANTIALES"/>
    <x v="1"/>
    <x v="95"/>
    <x v="18"/>
    <x v="17"/>
    <x v="3"/>
    <x v="11"/>
    <x v="0"/>
    <m/>
  </r>
  <r>
    <x v="3"/>
    <d v="2025-12-07T00:00:00"/>
    <x v="3"/>
    <n v="12"/>
    <s v="MANANTIALES"/>
    <x v="1"/>
    <x v="95"/>
    <x v="0"/>
    <x v="16"/>
    <x v="3"/>
    <x v="11"/>
    <x v="1"/>
    <m/>
  </r>
  <r>
    <x v="3"/>
    <d v="2025-12-07T00:00:00"/>
    <x v="3"/>
    <n v="12"/>
    <s v="MANANTIALES"/>
    <x v="1"/>
    <x v="95"/>
    <x v="20"/>
    <x v="22"/>
    <x v="0"/>
    <x v="11"/>
    <x v="1"/>
    <m/>
  </r>
  <r>
    <x v="3"/>
    <d v="2025-12-07T00:00:00"/>
    <x v="3"/>
    <n v="12"/>
    <s v="MANANTIALES"/>
    <x v="1"/>
    <x v="95"/>
    <x v="0"/>
    <x v="16"/>
    <x v="3"/>
    <x v="11"/>
    <x v="1"/>
    <m/>
  </r>
  <r>
    <x v="3"/>
    <d v="2025-12-07T00:00:00"/>
    <x v="3"/>
    <n v="12"/>
    <s v="MANANTIALES"/>
    <x v="1"/>
    <x v="95"/>
    <x v="18"/>
    <x v="22"/>
    <x v="3"/>
    <x v="11"/>
    <x v="1"/>
    <m/>
  </r>
  <r>
    <x v="3"/>
    <d v="2025-12-07T00:00:00"/>
    <x v="3"/>
    <n v="12"/>
    <s v="MANANTIALES"/>
    <x v="1"/>
    <x v="95"/>
    <x v="10"/>
    <x v="14"/>
    <x v="0"/>
    <x v="11"/>
    <x v="1"/>
    <m/>
  </r>
  <r>
    <x v="3"/>
    <d v="2025-12-07T00:00:00"/>
    <x v="3"/>
    <n v="12"/>
    <s v="MANANTIALES"/>
    <x v="1"/>
    <x v="95"/>
    <x v="15"/>
    <x v="17"/>
    <x v="3"/>
    <x v="11"/>
    <x v="2"/>
    <m/>
  </r>
  <r>
    <x v="3"/>
    <d v="2025-12-07T00:00:00"/>
    <x v="3"/>
    <n v="12"/>
    <s v="MANANTIALES"/>
    <x v="1"/>
    <x v="95"/>
    <x v="11"/>
    <x v="12"/>
    <x v="3"/>
    <x v="11"/>
    <x v="2"/>
    <m/>
  </r>
  <r>
    <x v="3"/>
    <d v="2025-12-07T00:00:00"/>
    <x v="3"/>
    <n v="12"/>
    <s v="MANANTIALES"/>
    <x v="1"/>
    <x v="95"/>
    <x v="0"/>
    <x v="22"/>
    <x v="3"/>
    <x v="7"/>
    <x v="1"/>
    <m/>
  </r>
  <r>
    <x v="3"/>
    <d v="2025-12-07T00:00:00"/>
    <x v="3"/>
    <n v="12"/>
    <s v="MANANTIALES"/>
    <x v="1"/>
    <x v="95"/>
    <x v="15"/>
    <x v="8"/>
    <x v="3"/>
    <x v="7"/>
    <x v="1"/>
    <m/>
  </r>
  <r>
    <x v="3"/>
    <d v="2025-12-07T00:00:00"/>
    <x v="3"/>
    <n v="12"/>
    <s v="MANANTIALES"/>
    <x v="1"/>
    <x v="95"/>
    <x v="15"/>
    <x v="16"/>
    <x v="3"/>
    <x v="11"/>
    <x v="2"/>
    <m/>
  </r>
  <r>
    <x v="3"/>
    <d v="2025-12-07T00:00:00"/>
    <x v="3"/>
    <n v="12"/>
    <s v="MANANTIALES"/>
    <x v="1"/>
    <x v="95"/>
    <x v="20"/>
    <x v="16"/>
    <x v="3"/>
    <x v="11"/>
    <x v="2"/>
    <m/>
  </r>
  <r>
    <x v="3"/>
    <d v="2025-12-07T00:00:00"/>
    <x v="3"/>
    <n v="12"/>
    <s v="MANANTIALES"/>
    <x v="1"/>
    <x v="95"/>
    <x v="15"/>
    <x v="2"/>
    <x v="0"/>
    <x v="11"/>
    <x v="2"/>
    <m/>
  </r>
  <r>
    <x v="3"/>
    <d v="2025-12-07T00:00:00"/>
    <x v="3"/>
    <n v="12"/>
    <s v="MANANTIALES"/>
    <x v="1"/>
    <x v="95"/>
    <x v="16"/>
    <x v="2"/>
    <x v="0"/>
    <x v="11"/>
    <x v="1"/>
    <m/>
  </r>
  <r>
    <x v="3"/>
    <d v="2025-12-07T00:00:00"/>
    <x v="3"/>
    <n v="12"/>
    <s v="MANANTIALES"/>
    <x v="1"/>
    <x v="95"/>
    <x v="0"/>
    <x v="12"/>
    <x v="1"/>
    <x v="11"/>
    <x v="1"/>
    <m/>
  </r>
  <r>
    <x v="3"/>
    <d v="2025-12-07T00:00:00"/>
    <x v="3"/>
    <n v="12"/>
    <s v="MANANTIALES"/>
    <x v="1"/>
    <x v="95"/>
    <x v="20"/>
    <x v="16"/>
    <x v="3"/>
    <x v="11"/>
    <x v="1"/>
    <m/>
  </r>
  <r>
    <x v="3"/>
    <d v="2025-12-07T00:00:00"/>
    <x v="3"/>
    <n v="12"/>
    <s v="MANANTIALES"/>
    <x v="1"/>
    <x v="95"/>
    <x v="0"/>
    <x v="16"/>
    <x v="3"/>
    <x v="11"/>
    <x v="1"/>
    <m/>
  </r>
  <r>
    <x v="3"/>
    <d v="2025-12-07T00:00:00"/>
    <x v="3"/>
    <n v="12"/>
    <s v="MANANTIALES"/>
    <x v="1"/>
    <x v="95"/>
    <x v="9"/>
    <x v="16"/>
    <x v="0"/>
    <x v="11"/>
    <x v="2"/>
    <m/>
  </r>
  <r>
    <x v="3"/>
    <d v="2025-12-07T00:00:00"/>
    <x v="3"/>
    <n v="12"/>
    <s v="MANANTIALES"/>
    <x v="1"/>
    <x v="95"/>
    <x v="20"/>
    <x v="16"/>
    <x v="3"/>
    <x v="11"/>
    <x v="1"/>
    <m/>
  </r>
  <r>
    <x v="3"/>
    <d v="2025-12-07T00:00:00"/>
    <x v="3"/>
    <n v="12"/>
    <s v="MANANTIALES"/>
    <x v="1"/>
    <x v="95"/>
    <x v="0"/>
    <x v="16"/>
    <x v="3"/>
    <x v="11"/>
    <x v="1"/>
    <m/>
  </r>
  <r>
    <x v="3"/>
    <d v="2025-12-07T00:00:00"/>
    <x v="3"/>
    <n v="12"/>
    <s v="MANANTIALES"/>
    <x v="1"/>
    <x v="95"/>
    <x v="3"/>
    <x v="14"/>
    <x v="4"/>
    <x v="2"/>
    <x v="1"/>
    <m/>
  </r>
  <r>
    <x v="3"/>
    <d v="2025-12-07T00:00:00"/>
    <x v="3"/>
    <n v="12"/>
    <s v="MANANTIALES"/>
    <x v="1"/>
    <x v="95"/>
    <x v="0"/>
    <x v="10"/>
    <x v="1"/>
    <x v="11"/>
    <x v="1"/>
    <m/>
  </r>
  <r>
    <x v="4"/>
    <d v="2025-12-07T00:00:00"/>
    <x v="4"/>
    <n v="14"/>
    <s v="CAÑA CHAQUETA"/>
    <x v="1"/>
    <x v="97"/>
    <x v="1"/>
    <x v="16"/>
    <x v="3"/>
    <x v="6"/>
    <x v="2"/>
    <m/>
  </r>
  <r>
    <x v="4"/>
    <d v="2025-12-07T00:00:00"/>
    <x v="4"/>
    <n v="14"/>
    <s v="CAÑA CHAQUETA"/>
    <x v="1"/>
    <x v="97"/>
    <x v="20"/>
    <x v="16"/>
    <x v="2"/>
    <x v="7"/>
    <x v="1"/>
    <m/>
  </r>
  <r>
    <x v="4"/>
    <d v="2025-12-07T00:00:00"/>
    <x v="4"/>
    <n v="14"/>
    <s v="CAÑA CHAQUETA"/>
    <x v="1"/>
    <x v="97"/>
    <x v="11"/>
    <x v="1"/>
    <x v="3"/>
    <x v="7"/>
    <x v="1"/>
    <m/>
  </r>
  <r>
    <x v="4"/>
    <d v="2025-12-07T00:00:00"/>
    <x v="4"/>
    <n v="14"/>
    <s v="CAÑA CHAQUETA"/>
    <x v="1"/>
    <x v="97"/>
    <x v="11"/>
    <x v="7"/>
    <x v="1"/>
    <x v="10"/>
    <x v="1"/>
    <m/>
  </r>
  <r>
    <x v="4"/>
    <d v="2025-12-07T00:00:00"/>
    <x v="4"/>
    <n v="14"/>
    <s v="CAÑA CHAQUETA"/>
    <x v="1"/>
    <x v="97"/>
    <x v="13"/>
    <x v="12"/>
    <x v="3"/>
    <x v="10"/>
    <x v="1"/>
    <m/>
  </r>
  <r>
    <x v="4"/>
    <d v="2025-12-07T00:00:00"/>
    <x v="4"/>
    <n v="14"/>
    <s v="CAÑA CHAQUETA"/>
    <x v="1"/>
    <x v="97"/>
    <x v="2"/>
    <x v="6"/>
    <x v="1"/>
    <x v="7"/>
    <x v="1"/>
    <m/>
  </r>
  <r>
    <x v="4"/>
    <d v="2025-12-07T00:00:00"/>
    <x v="4"/>
    <n v="14"/>
    <s v="CAÑA CHAQUETA"/>
    <x v="1"/>
    <x v="97"/>
    <x v="2"/>
    <x v="15"/>
    <x v="1"/>
    <x v="7"/>
    <x v="1"/>
    <m/>
  </r>
  <r>
    <x v="4"/>
    <d v="2025-12-07T00:00:00"/>
    <x v="4"/>
    <n v="14"/>
    <s v="CAÑA CHAQUETA"/>
    <x v="1"/>
    <x v="97"/>
    <x v="20"/>
    <x v="14"/>
    <x v="4"/>
    <x v="2"/>
    <x v="1"/>
    <m/>
  </r>
  <r>
    <x v="4"/>
    <d v="2025-12-07T00:00:00"/>
    <x v="4"/>
    <n v="14"/>
    <s v="CAÑA CHAQUETA"/>
    <x v="1"/>
    <x v="97"/>
    <x v="8"/>
    <x v="11"/>
    <x v="1"/>
    <x v="7"/>
    <x v="1"/>
    <m/>
  </r>
  <r>
    <x v="4"/>
    <d v="2025-12-07T00:00:00"/>
    <x v="4"/>
    <n v="14"/>
    <s v="CAÑA CHAQUETA"/>
    <x v="1"/>
    <x v="97"/>
    <x v="20"/>
    <x v="10"/>
    <x v="1"/>
    <x v="2"/>
    <x v="1"/>
    <m/>
  </r>
  <r>
    <x v="4"/>
    <d v="2025-12-07T00:00:00"/>
    <x v="4"/>
    <n v="14"/>
    <s v="CAÑA CHAQUETA"/>
    <x v="1"/>
    <x v="97"/>
    <x v="20"/>
    <x v="13"/>
    <x v="1"/>
    <x v="2"/>
    <x v="1"/>
    <m/>
  </r>
  <r>
    <x v="4"/>
    <d v="2025-12-07T00:00:00"/>
    <x v="4"/>
    <n v="14"/>
    <s v="CAÑA CHAQUETA"/>
    <x v="1"/>
    <x v="97"/>
    <x v="20"/>
    <x v="16"/>
    <x v="2"/>
    <x v="7"/>
    <x v="1"/>
    <m/>
  </r>
  <r>
    <x v="4"/>
    <d v="2025-12-07T00:00:00"/>
    <x v="4"/>
    <n v="14"/>
    <s v="CAÑA CHAQUETA"/>
    <x v="1"/>
    <x v="97"/>
    <x v="2"/>
    <x v="8"/>
    <x v="1"/>
    <x v="7"/>
    <x v="1"/>
    <m/>
  </r>
  <r>
    <x v="4"/>
    <d v="2025-12-07T00:00:00"/>
    <x v="4"/>
    <n v="14"/>
    <s v="CAÑA CHAQUETA"/>
    <x v="1"/>
    <x v="97"/>
    <x v="0"/>
    <x v="16"/>
    <x v="2"/>
    <x v="6"/>
    <x v="2"/>
    <m/>
  </r>
  <r>
    <x v="4"/>
    <d v="2025-12-07T00:00:00"/>
    <x v="4"/>
    <n v="14"/>
    <s v="CAÑA CHAQUETA"/>
    <x v="1"/>
    <x v="97"/>
    <x v="18"/>
    <x v="16"/>
    <x v="3"/>
    <x v="6"/>
    <x v="2"/>
    <m/>
  </r>
  <r>
    <x v="4"/>
    <d v="2025-12-07T00:00:00"/>
    <x v="4"/>
    <n v="14"/>
    <s v="CAÑA CHAQUETA"/>
    <x v="1"/>
    <x v="97"/>
    <x v="8"/>
    <x v="22"/>
    <x v="0"/>
    <x v="6"/>
    <x v="2"/>
    <m/>
  </r>
  <r>
    <x v="4"/>
    <d v="2025-12-07T00:00:00"/>
    <x v="4"/>
    <n v="14"/>
    <s v="CAÑA CHAQUETA"/>
    <x v="1"/>
    <x v="97"/>
    <x v="18"/>
    <x v="16"/>
    <x v="2"/>
    <x v="6"/>
    <x v="2"/>
    <m/>
  </r>
  <r>
    <x v="4"/>
    <d v="2025-12-07T00:00:00"/>
    <x v="4"/>
    <n v="14"/>
    <s v="CAÑA CHAQUETA"/>
    <x v="1"/>
    <x v="97"/>
    <x v="8"/>
    <x v="16"/>
    <x v="2"/>
    <x v="5"/>
    <x v="2"/>
    <m/>
  </r>
  <r>
    <x v="4"/>
    <d v="2025-12-07T00:00:00"/>
    <x v="4"/>
    <n v="14"/>
    <s v="CAÑA CHAQUETA"/>
    <x v="1"/>
    <x v="97"/>
    <x v="12"/>
    <x v="6"/>
    <x v="0"/>
    <x v="3"/>
    <x v="1"/>
    <m/>
  </r>
  <r>
    <x v="4"/>
    <d v="2025-12-07T00:00:00"/>
    <x v="4"/>
    <n v="14"/>
    <s v="CAÑA CHAQUETA"/>
    <x v="1"/>
    <x v="97"/>
    <x v="1"/>
    <x v="7"/>
    <x v="1"/>
    <x v="1"/>
    <x v="0"/>
    <m/>
  </r>
  <r>
    <x v="4"/>
    <d v="2025-12-07T00:00:00"/>
    <x v="4"/>
    <n v="14"/>
    <s v="CAÑA CHAQUETA"/>
    <x v="1"/>
    <x v="97"/>
    <x v="1"/>
    <x v="7"/>
    <x v="1"/>
    <x v="7"/>
    <x v="1"/>
    <m/>
  </r>
  <r>
    <x v="4"/>
    <d v="2025-12-07T00:00:00"/>
    <x v="4"/>
    <n v="14"/>
    <s v="CAÑA CHAQUETA"/>
    <x v="1"/>
    <x v="97"/>
    <x v="8"/>
    <x v="18"/>
    <x v="1"/>
    <x v="5"/>
    <x v="2"/>
    <m/>
  </r>
  <r>
    <x v="4"/>
    <d v="2025-12-07T00:00:00"/>
    <x v="4"/>
    <n v="14"/>
    <s v="CAÑA CHAQUETA"/>
    <x v="1"/>
    <x v="97"/>
    <x v="18"/>
    <x v="1"/>
    <x v="3"/>
    <x v="6"/>
    <x v="2"/>
    <m/>
  </r>
  <r>
    <x v="4"/>
    <d v="2025-12-07T00:00:00"/>
    <x v="4"/>
    <n v="14"/>
    <s v="CAÑA CHAQUETA"/>
    <x v="1"/>
    <x v="97"/>
    <x v="13"/>
    <x v="12"/>
    <x v="1"/>
    <x v="7"/>
    <x v="1"/>
    <m/>
  </r>
  <r>
    <x v="4"/>
    <d v="2025-12-07T00:00:00"/>
    <x v="4"/>
    <n v="14"/>
    <s v="CAÑA CHAQUETA"/>
    <x v="1"/>
    <x v="97"/>
    <x v="2"/>
    <x v="7"/>
    <x v="1"/>
    <x v="7"/>
    <x v="1"/>
    <m/>
  </r>
  <r>
    <x v="4"/>
    <d v="2025-12-07T00:00:00"/>
    <x v="4"/>
    <n v="14"/>
    <s v="CAÑA CHAQUETA"/>
    <x v="1"/>
    <x v="97"/>
    <x v="2"/>
    <x v="17"/>
    <x v="3"/>
    <x v="7"/>
    <x v="1"/>
    <m/>
  </r>
  <r>
    <x v="4"/>
    <d v="2025-12-07T00:00:00"/>
    <x v="4"/>
    <n v="14"/>
    <s v="CAÑA CHAQUETA"/>
    <x v="1"/>
    <x v="97"/>
    <x v="11"/>
    <x v="16"/>
    <x v="3"/>
    <x v="6"/>
    <x v="2"/>
    <m/>
  </r>
  <r>
    <x v="4"/>
    <d v="2025-12-07T00:00:00"/>
    <x v="4"/>
    <n v="14"/>
    <s v="CAÑA CHAQUETA"/>
    <x v="1"/>
    <x v="97"/>
    <x v="8"/>
    <x v="1"/>
    <x v="0"/>
    <x v="6"/>
    <x v="2"/>
    <m/>
  </r>
  <r>
    <x v="4"/>
    <d v="2025-12-07T00:00:00"/>
    <x v="4"/>
    <n v="14"/>
    <s v="CAÑA CHAQUETA"/>
    <x v="1"/>
    <x v="97"/>
    <x v="8"/>
    <x v="1"/>
    <x v="0"/>
    <x v="5"/>
    <x v="2"/>
    <m/>
  </r>
  <r>
    <x v="4"/>
    <d v="2025-12-07T00:00:00"/>
    <x v="4"/>
    <n v="14"/>
    <s v="CAÑA CHAQUETA"/>
    <x v="1"/>
    <x v="97"/>
    <x v="20"/>
    <x v="16"/>
    <x v="0"/>
    <x v="1"/>
    <x v="0"/>
    <m/>
  </r>
  <r>
    <x v="4"/>
    <d v="2025-12-07T00:00:00"/>
    <x v="4"/>
    <n v="14"/>
    <s v="CAÑA CHAQUETA"/>
    <x v="1"/>
    <x v="97"/>
    <x v="11"/>
    <x v="8"/>
    <x v="1"/>
    <x v="1"/>
    <x v="0"/>
    <m/>
  </r>
  <r>
    <x v="4"/>
    <d v="2025-12-07T00:00:00"/>
    <x v="4"/>
    <n v="14"/>
    <s v="CAÑA CHAQUETA"/>
    <x v="1"/>
    <x v="97"/>
    <x v="20"/>
    <x v="16"/>
    <x v="3"/>
    <x v="7"/>
    <x v="1"/>
    <m/>
  </r>
  <r>
    <x v="4"/>
    <d v="2025-12-07T00:00:00"/>
    <x v="4"/>
    <n v="14"/>
    <s v="CAÑA CHAQUETA"/>
    <x v="1"/>
    <x v="97"/>
    <x v="1"/>
    <x v="7"/>
    <x v="1"/>
    <x v="1"/>
    <x v="0"/>
    <m/>
  </r>
  <r>
    <x v="4"/>
    <d v="2025-12-07T00:00:00"/>
    <x v="4"/>
    <n v="14"/>
    <s v="CAÑA CHAQUETA"/>
    <x v="1"/>
    <x v="97"/>
    <x v="12"/>
    <x v="12"/>
    <x v="1"/>
    <x v="6"/>
    <x v="2"/>
    <m/>
  </r>
  <r>
    <x v="4"/>
    <d v="2025-12-07T00:00:00"/>
    <x v="4"/>
    <n v="14"/>
    <s v="CAÑA CHAQUETA"/>
    <x v="1"/>
    <x v="97"/>
    <x v="20"/>
    <x v="16"/>
    <x v="2"/>
    <x v="3"/>
    <x v="1"/>
    <m/>
  </r>
  <r>
    <x v="4"/>
    <d v="2025-12-07T00:00:00"/>
    <x v="4"/>
    <n v="14"/>
    <s v="CAÑA CHAQUETA"/>
    <x v="1"/>
    <x v="97"/>
    <x v="13"/>
    <x v="2"/>
    <x v="1"/>
    <x v="5"/>
    <x v="2"/>
    <m/>
  </r>
  <r>
    <x v="4"/>
    <d v="2025-12-07T00:00:00"/>
    <x v="4"/>
    <n v="14"/>
    <s v="CAÑA CHAQUETA"/>
    <x v="1"/>
    <x v="97"/>
    <x v="11"/>
    <x v="1"/>
    <x v="3"/>
    <x v="4"/>
    <x v="0"/>
    <m/>
  </r>
  <r>
    <x v="4"/>
    <d v="2025-12-07T00:00:00"/>
    <x v="4"/>
    <n v="14"/>
    <s v="CAÑA CHAQUETA"/>
    <x v="1"/>
    <x v="97"/>
    <x v="20"/>
    <x v="16"/>
    <x v="3"/>
    <x v="10"/>
    <x v="1"/>
    <m/>
  </r>
  <r>
    <x v="4"/>
    <d v="2025-12-07T00:00:00"/>
    <x v="4"/>
    <n v="14"/>
    <s v="CAÑA CHAQUETA"/>
    <x v="1"/>
    <x v="97"/>
    <x v="8"/>
    <x v="2"/>
    <x v="1"/>
    <x v="5"/>
    <x v="2"/>
    <m/>
  </r>
  <r>
    <x v="4"/>
    <d v="2025-12-07T00:00:00"/>
    <x v="4"/>
    <n v="14"/>
    <s v="CAÑA CHAQUETA"/>
    <x v="1"/>
    <x v="97"/>
    <x v="20"/>
    <x v="16"/>
    <x v="3"/>
    <x v="7"/>
    <x v="1"/>
    <m/>
  </r>
  <r>
    <x v="4"/>
    <d v="2025-12-07T00:00:00"/>
    <x v="4"/>
    <n v="14"/>
    <s v="CAÑA CHAQUETA"/>
    <x v="1"/>
    <x v="97"/>
    <x v="8"/>
    <x v="22"/>
    <x v="0"/>
    <x v="5"/>
    <x v="2"/>
    <m/>
  </r>
  <r>
    <x v="4"/>
    <d v="2025-12-07T00:00:00"/>
    <x v="4"/>
    <n v="14"/>
    <s v="CAÑA CHAQUETA"/>
    <x v="1"/>
    <x v="97"/>
    <x v="11"/>
    <x v="16"/>
    <x v="3"/>
    <x v="5"/>
    <x v="2"/>
    <m/>
  </r>
  <r>
    <x v="4"/>
    <d v="2025-12-07T00:00:00"/>
    <x v="4"/>
    <n v="14"/>
    <s v="CAÑA CHAQUETA"/>
    <x v="1"/>
    <x v="98"/>
    <x v="11"/>
    <x v="18"/>
    <x v="1"/>
    <x v="4"/>
    <x v="0"/>
    <m/>
  </r>
  <r>
    <x v="4"/>
    <d v="2025-12-07T00:00:00"/>
    <x v="4"/>
    <n v="14"/>
    <s v="CAÑA CHAQUETA"/>
    <x v="1"/>
    <x v="98"/>
    <x v="13"/>
    <x v="6"/>
    <x v="1"/>
    <x v="4"/>
    <x v="0"/>
    <m/>
  </r>
  <r>
    <x v="4"/>
    <d v="2025-12-07T00:00:00"/>
    <x v="4"/>
    <n v="14"/>
    <s v="CAÑA CHAQUETA"/>
    <x v="1"/>
    <x v="98"/>
    <x v="11"/>
    <x v="16"/>
    <x v="3"/>
    <x v="7"/>
    <x v="1"/>
    <m/>
  </r>
  <r>
    <x v="4"/>
    <d v="2025-12-07T00:00:00"/>
    <x v="4"/>
    <n v="14"/>
    <s v="CAÑA CHAQUETA"/>
    <x v="1"/>
    <x v="98"/>
    <x v="12"/>
    <x v="18"/>
    <x v="3"/>
    <x v="7"/>
    <x v="1"/>
    <s v="2 jug"/>
  </r>
  <r>
    <x v="4"/>
    <d v="2025-12-07T00:00:00"/>
    <x v="4"/>
    <n v="14"/>
    <s v="CAÑA CHAQUETA"/>
    <x v="1"/>
    <x v="98"/>
    <x v="20"/>
    <x v="22"/>
    <x v="1"/>
    <x v="7"/>
    <x v="1"/>
    <m/>
  </r>
  <r>
    <x v="4"/>
    <d v="2025-12-07T00:00:00"/>
    <x v="4"/>
    <n v="14"/>
    <s v="CAÑA CHAQUETA"/>
    <x v="1"/>
    <x v="98"/>
    <x v="12"/>
    <x v="21"/>
    <x v="0"/>
    <x v="3"/>
    <x v="1"/>
    <m/>
  </r>
  <r>
    <x v="4"/>
    <d v="2025-12-07T00:00:00"/>
    <x v="4"/>
    <n v="14"/>
    <s v="CAÑA CHAQUETA"/>
    <x v="1"/>
    <x v="98"/>
    <x v="18"/>
    <x v="16"/>
    <x v="1"/>
    <x v="6"/>
    <x v="2"/>
    <m/>
  </r>
  <r>
    <x v="4"/>
    <d v="2025-12-07T00:00:00"/>
    <x v="4"/>
    <n v="14"/>
    <s v="CAÑA CHAQUETA"/>
    <x v="1"/>
    <x v="98"/>
    <x v="11"/>
    <x v="16"/>
    <x v="1"/>
    <x v="6"/>
    <x v="2"/>
    <m/>
  </r>
  <r>
    <x v="4"/>
    <d v="2025-12-07T00:00:00"/>
    <x v="4"/>
    <n v="14"/>
    <s v="CAÑA CHAQUETA"/>
    <x v="1"/>
    <x v="98"/>
    <x v="11"/>
    <x v="18"/>
    <x v="1"/>
    <x v="6"/>
    <x v="2"/>
    <m/>
  </r>
  <r>
    <x v="4"/>
    <d v="2025-12-07T00:00:00"/>
    <x v="4"/>
    <n v="14"/>
    <s v="CAÑA CHAQUETA"/>
    <x v="1"/>
    <x v="98"/>
    <x v="20"/>
    <x v="14"/>
    <x v="1"/>
    <x v="7"/>
    <x v="1"/>
    <m/>
  </r>
  <r>
    <x v="4"/>
    <d v="2025-12-07T00:00:00"/>
    <x v="4"/>
    <n v="14"/>
    <s v="CAÑA CHAQUETA"/>
    <x v="1"/>
    <x v="98"/>
    <x v="11"/>
    <x v="16"/>
    <x v="3"/>
    <x v="6"/>
    <x v="2"/>
    <m/>
  </r>
  <r>
    <x v="4"/>
    <d v="2025-12-07T00:00:00"/>
    <x v="4"/>
    <n v="14"/>
    <s v="CAÑA CHAQUETA"/>
    <x v="1"/>
    <x v="98"/>
    <x v="20"/>
    <x v="22"/>
    <x v="3"/>
    <x v="5"/>
    <x v="2"/>
    <m/>
  </r>
  <r>
    <x v="4"/>
    <d v="2025-12-07T00:00:00"/>
    <x v="4"/>
    <n v="14"/>
    <s v="CAÑA CHAQUETA"/>
    <x v="1"/>
    <x v="98"/>
    <x v="12"/>
    <x v="18"/>
    <x v="1"/>
    <x v="10"/>
    <x v="1"/>
    <m/>
  </r>
  <r>
    <x v="4"/>
    <d v="2025-12-07T00:00:00"/>
    <x v="4"/>
    <n v="14"/>
    <s v="CAÑA CHAQUETA"/>
    <x v="1"/>
    <x v="98"/>
    <x v="11"/>
    <x v="16"/>
    <x v="3"/>
    <x v="6"/>
    <x v="2"/>
    <m/>
  </r>
  <r>
    <x v="4"/>
    <d v="2025-12-07T00:00:00"/>
    <x v="4"/>
    <n v="14"/>
    <s v="CAÑA CHAQUETA"/>
    <x v="1"/>
    <x v="98"/>
    <x v="2"/>
    <x v="7"/>
    <x v="1"/>
    <x v="10"/>
    <x v="1"/>
    <m/>
  </r>
  <r>
    <x v="4"/>
    <d v="2025-12-07T00:00:00"/>
    <x v="4"/>
    <n v="14"/>
    <s v="CAÑA CHAQUETA"/>
    <x v="1"/>
    <x v="98"/>
    <x v="0"/>
    <x v="9"/>
    <x v="1"/>
    <x v="6"/>
    <x v="2"/>
    <m/>
  </r>
  <r>
    <x v="4"/>
    <d v="2025-12-07T00:00:00"/>
    <x v="4"/>
    <n v="14"/>
    <s v="CAÑA CHAQUETA"/>
    <x v="1"/>
    <x v="98"/>
    <x v="21"/>
    <x v="2"/>
    <x v="5"/>
    <x v="0"/>
    <x v="0"/>
    <m/>
  </r>
  <r>
    <x v="4"/>
    <d v="2025-12-07T00:00:00"/>
    <x v="4"/>
    <n v="14"/>
    <s v="CAÑA CHAQUETA"/>
    <x v="1"/>
    <x v="98"/>
    <x v="11"/>
    <x v="1"/>
    <x v="3"/>
    <x v="6"/>
    <x v="2"/>
    <m/>
  </r>
  <r>
    <x v="4"/>
    <d v="2025-12-07T00:00:00"/>
    <x v="4"/>
    <n v="14"/>
    <s v="CAÑA CHAQUETA"/>
    <x v="1"/>
    <x v="98"/>
    <x v="13"/>
    <x v="7"/>
    <x v="0"/>
    <x v="4"/>
    <x v="0"/>
    <m/>
  </r>
  <r>
    <x v="4"/>
    <d v="2025-12-07T00:00:00"/>
    <x v="4"/>
    <n v="14"/>
    <s v="CAÑA CHAQUETA"/>
    <x v="1"/>
    <x v="98"/>
    <x v="11"/>
    <x v="8"/>
    <x v="1"/>
    <x v="5"/>
    <x v="2"/>
    <m/>
  </r>
  <r>
    <x v="4"/>
    <d v="2025-12-07T00:00:00"/>
    <x v="4"/>
    <n v="14"/>
    <s v="CAÑA CHAQUETA"/>
    <x v="1"/>
    <x v="98"/>
    <x v="12"/>
    <x v="1"/>
    <x v="1"/>
    <x v="6"/>
    <x v="2"/>
    <m/>
  </r>
  <r>
    <x v="4"/>
    <d v="2025-12-07T00:00:00"/>
    <x v="4"/>
    <n v="14"/>
    <s v="CAÑA CHAQUETA"/>
    <x v="1"/>
    <x v="98"/>
    <x v="8"/>
    <x v="16"/>
    <x v="2"/>
    <x v="0"/>
    <x v="0"/>
    <m/>
  </r>
  <r>
    <x v="4"/>
    <d v="2025-12-07T00:00:00"/>
    <x v="4"/>
    <n v="14"/>
    <s v="CAÑA CHAQUETA"/>
    <x v="1"/>
    <x v="98"/>
    <x v="0"/>
    <x v="7"/>
    <x v="1"/>
    <x v="6"/>
    <x v="2"/>
    <m/>
  </r>
  <r>
    <x v="4"/>
    <d v="2025-12-07T00:00:00"/>
    <x v="4"/>
    <n v="14"/>
    <s v="CAÑA CHAQUETA"/>
    <x v="1"/>
    <x v="98"/>
    <x v="1"/>
    <x v="1"/>
    <x v="3"/>
    <x v="1"/>
    <x v="0"/>
    <m/>
  </r>
  <r>
    <x v="4"/>
    <d v="2025-12-07T00:00:00"/>
    <x v="4"/>
    <n v="14"/>
    <s v="CAÑA CHAQUETA"/>
    <x v="1"/>
    <x v="98"/>
    <x v="11"/>
    <x v="16"/>
    <x v="3"/>
    <x v="5"/>
    <x v="2"/>
    <m/>
  </r>
  <r>
    <x v="4"/>
    <d v="2025-12-07T00:00:00"/>
    <x v="4"/>
    <n v="14"/>
    <s v="CAÑA CHAQUETA"/>
    <x v="1"/>
    <x v="98"/>
    <x v="8"/>
    <x v="11"/>
    <x v="1"/>
    <x v="5"/>
    <x v="2"/>
    <m/>
  </r>
  <r>
    <x v="4"/>
    <d v="2025-12-07T00:00:00"/>
    <x v="4"/>
    <n v="14"/>
    <s v="CAÑA CHAQUETA"/>
    <x v="1"/>
    <x v="98"/>
    <x v="11"/>
    <x v="18"/>
    <x v="1"/>
    <x v="5"/>
    <x v="2"/>
    <m/>
  </r>
  <r>
    <x v="4"/>
    <d v="2025-12-07T00:00:00"/>
    <x v="4"/>
    <n v="14"/>
    <s v="CAÑA CHAQUETA"/>
    <x v="1"/>
    <x v="98"/>
    <x v="13"/>
    <x v="9"/>
    <x v="5"/>
    <x v="10"/>
    <x v="1"/>
    <m/>
  </r>
  <r>
    <x v="4"/>
    <d v="2025-12-07T00:00:00"/>
    <x v="4"/>
    <n v="14"/>
    <s v="CAÑA CHAQUETA"/>
    <x v="1"/>
    <x v="98"/>
    <x v="8"/>
    <x v="5"/>
    <x v="0"/>
    <x v="6"/>
    <x v="2"/>
    <m/>
  </r>
  <r>
    <x v="4"/>
    <d v="2025-12-07T00:00:00"/>
    <x v="4"/>
    <n v="14"/>
    <s v="CAÑA CHAQUETA"/>
    <x v="1"/>
    <x v="98"/>
    <x v="1"/>
    <x v="5"/>
    <x v="0"/>
    <x v="6"/>
    <x v="2"/>
    <m/>
  </r>
  <r>
    <x v="4"/>
    <d v="2025-12-07T00:00:00"/>
    <x v="4"/>
    <n v="14"/>
    <s v="CAÑA CHAQUETA"/>
    <x v="1"/>
    <x v="98"/>
    <x v="11"/>
    <x v="16"/>
    <x v="3"/>
    <x v="6"/>
    <x v="2"/>
    <m/>
  </r>
  <r>
    <x v="4"/>
    <d v="2025-12-07T00:00:00"/>
    <x v="4"/>
    <n v="14"/>
    <s v="CAÑA CHAQUETA"/>
    <x v="1"/>
    <x v="98"/>
    <x v="11"/>
    <x v="15"/>
    <x v="1"/>
    <x v="7"/>
    <x v="1"/>
    <m/>
  </r>
  <r>
    <x v="4"/>
    <d v="2025-12-07T00:00:00"/>
    <x v="4"/>
    <n v="14"/>
    <s v="CAÑA CHAQUETA"/>
    <x v="1"/>
    <x v="98"/>
    <x v="2"/>
    <x v="13"/>
    <x v="1"/>
    <x v="2"/>
    <x v="1"/>
    <m/>
  </r>
  <r>
    <x v="4"/>
    <d v="2025-12-07T00:00:00"/>
    <x v="4"/>
    <n v="14"/>
    <s v="CAÑA CHAQUETA"/>
    <x v="1"/>
    <x v="98"/>
    <x v="11"/>
    <x v="1"/>
    <x v="1"/>
    <x v="6"/>
    <x v="2"/>
    <m/>
  </r>
  <r>
    <x v="4"/>
    <d v="2025-12-07T00:00:00"/>
    <x v="4"/>
    <n v="14"/>
    <s v="CAÑA CHAQUETA"/>
    <x v="1"/>
    <x v="99"/>
    <x v="9"/>
    <x v="21"/>
    <x v="1"/>
    <x v="10"/>
    <x v="1"/>
    <m/>
  </r>
  <r>
    <x v="4"/>
    <d v="2025-12-07T00:00:00"/>
    <x v="4"/>
    <n v="14"/>
    <s v="CAÑA CHAQUETA"/>
    <x v="1"/>
    <x v="99"/>
    <x v="2"/>
    <x v="22"/>
    <x v="3"/>
    <x v="7"/>
    <x v="1"/>
    <m/>
  </r>
  <r>
    <x v="4"/>
    <d v="2025-12-07T00:00:00"/>
    <x v="4"/>
    <n v="14"/>
    <s v="CAÑA CHAQUETA"/>
    <x v="1"/>
    <x v="99"/>
    <x v="8"/>
    <x v="17"/>
    <x v="2"/>
    <x v="7"/>
    <x v="1"/>
    <m/>
  </r>
  <r>
    <x v="4"/>
    <d v="2025-12-07T00:00:00"/>
    <x v="4"/>
    <n v="14"/>
    <s v="CAÑA CHAQUETA"/>
    <x v="1"/>
    <x v="99"/>
    <x v="12"/>
    <x v="1"/>
    <x v="0"/>
    <x v="6"/>
    <x v="2"/>
    <m/>
  </r>
  <r>
    <x v="4"/>
    <d v="2025-12-07T00:00:00"/>
    <x v="4"/>
    <n v="14"/>
    <s v="CAÑA CHAQUETA"/>
    <x v="1"/>
    <x v="99"/>
    <x v="1"/>
    <x v="3"/>
    <x v="1"/>
    <x v="10"/>
    <x v="1"/>
    <m/>
  </r>
  <r>
    <x v="4"/>
    <d v="2025-12-07T00:00:00"/>
    <x v="4"/>
    <n v="14"/>
    <s v="CAÑA CHAQUETA"/>
    <x v="1"/>
    <x v="99"/>
    <x v="12"/>
    <x v="21"/>
    <x v="1"/>
    <x v="4"/>
    <x v="0"/>
    <m/>
  </r>
  <r>
    <x v="4"/>
    <d v="2025-12-07T00:00:00"/>
    <x v="4"/>
    <n v="14"/>
    <s v="CAÑA CHAQUETA"/>
    <x v="1"/>
    <x v="99"/>
    <x v="1"/>
    <x v="16"/>
    <x v="0"/>
    <x v="1"/>
    <x v="0"/>
    <m/>
  </r>
  <r>
    <x v="4"/>
    <d v="2025-12-07T00:00:00"/>
    <x v="4"/>
    <n v="14"/>
    <s v="CAÑA CHAQUETA"/>
    <x v="1"/>
    <x v="99"/>
    <x v="9"/>
    <x v="16"/>
    <x v="5"/>
    <x v="4"/>
    <x v="0"/>
    <m/>
  </r>
  <r>
    <x v="4"/>
    <d v="2025-12-07T00:00:00"/>
    <x v="4"/>
    <n v="14"/>
    <s v="CAÑA CHAQUETA"/>
    <x v="1"/>
    <x v="99"/>
    <x v="9"/>
    <x v="16"/>
    <x v="5"/>
    <x v="4"/>
    <x v="0"/>
    <m/>
  </r>
  <r>
    <x v="4"/>
    <d v="2025-12-07T00:00:00"/>
    <x v="4"/>
    <n v="14"/>
    <s v="CAÑA CHAQUETA"/>
    <x v="1"/>
    <x v="99"/>
    <x v="12"/>
    <x v="16"/>
    <x v="3"/>
    <x v="6"/>
    <x v="2"/>
    <m/>
  </r>
  <r>
    <x v="4"/>
    <d v="2025-12-07T00:00:00"/>
    <x v="4"/>
    <n v="14"/>
    <s v="CAÑA CHAQUETA"/>
    <x v="1"/>
    <x v="99"/>
    <x v="8"/>
    <x v="14"/>
    <x v="1"/>
    <x v="10"/>
    <x v="1"/>
    <m/>
  </r>
  <r>
    <x v="4"/>
    <d v="2025-12-07T00:00:00"/>
    <x v="4"/>
    <n v="14"/>
    <s v="CAÑA CHAQUETA"/>
    <x v="1"/>
    <x v="99"/>
    <x v="13"/>
    <x v="22"/>
    <x v="3"/>
    <x v="7"/>
    <x v="1"/>
    <m/>
  </r>
  <r>
    <x v="4"/>
    <d v="2025-12-07T00:00:00"/>
    <x v="4"/>
    <n v="14"/>
    <s v="CAÑA CHAQUETA"/>
    <x v="1"/>
    <x v="99"/>
    <x v="13"/>
    <x v="6"/>
    <x v="1"/>
    <x v="10"/>
    <x v="1"/>
    <m/>
  </r>
  <r>
    <x v="4"/>
    <d v="2025-12-07T00:00:00"/>
    <x v="4"/>
    <n v="14"/>
    <s v="CAÑA CHAQUETA"/>
    <x v="1"/>
    <x v="99"/>
    <x v="13"/>
    <x v="7"/>
    <x v="1"/>
    <x v="10"/>
    <x v="1"/>
    <m/>
  </r>
  <r>
    <x v="4"/>
    <d v="2025-12-07T00:00:00"/>
    <x v="4"/>
    <n v="14"/>
    <s v="CAÑA CHAQUETA"/>
    <x v="1"/>
    <x v="99"/>
    <x v="12"/>
    <x v="19"/>
    <x v="1"/>
    <x v="3"/>
    <x v="1"/>
    <m/>
  </r>
  <r>
    <x v="4"/>
    <d v="2025-12-07T00:00:00"/>
    <x v="4"/>
    <n v="14"/>
    <s v="CAÑA CHAQUETA"/>
    <x v="1"/>
    <x v="99"/>
    <x v="12"/>
    <x v="21"/>
    <x v="0"/>
    <x v="3"/>
    <x v="1"/>
    <m/>
  </r>
  <r>
    <x v="4"/>
    <d v="2025-12-07T00:00:00"/>
    <x v="4"/>
    <n v="14"/>
    <s v="CAÑA CHAQUETA"/>
    <x v="1"/>
    <x v="99"/>
    <x v="8"/>
    <x v="16"/>
    <x v="0"/>
    <x v="6"/>
    <x v="2"/>
    <m/>
  </r>
  <r>
    <x v="4"/>
    <d v="2025-12-07T00:00:00"/>
    <x v="4"/>
    <n v="14"/>
    <s v="CAÑA CHAQUETA"/>
    <x v="1"/>
    <x v="99"/>
    <x v="18"/>
    <x v="22"/>
    <x v="2"/>
    <x v="6"/>
    <x v="2"/>
    <m/>
  </r>
  <r>
    <x v="4"/>
    <d v="2025-12-07T00:00:00"/>
    <x v="4"/>
    <n v="14"/>
    <s v="CAÑA CHAQUETA"/>
    <x v="1"/>
    <x v="99"/>
    <x v="0"/>
    <x v="1"/>
    <x v="1"/>
    <x v="4"/>
    <x v="0"/>
    <m/>
  </r>
  <r>
    <x v="4"/>
    <d v="2025-12-07T00:00:00"/>
    <x v="4"/>
    <n v="14"/>
    <s v="CAÑA CHAQUETA"/>
    <x v="1"/>
    <x v="99"/>
    <x v="12"/>
    <x v="9"/>
    <x v="0"/>
    <x v="1"/>
    <x v="0"/>
    <m/>
  </r>
  <r>
    <x v="4"/>
    <d v="2025-12-07T00:00:00"/>
    <x v="4"/>
    <n v="14"/>
    <s v="CAÑA CHAQUETA"/>
    <x v="1"/>
    <x v="99"/>
    <x v="12"/>
    <x v="1"/>
    <x v="0"/>
    <x v="0"/>
    <x v="0"/>
    <m/>
  </r>
  <r>
    <x v="4"/>
    <d v="2025-12-07T00:00:00"/>
    <x v="4"/>
    <n v="14"/>
    <s v="CAÑA CHAQUETA"/>
    <x v="1"/>
    <x v="99"/>
    <x v="11"/>
    <x v="16"/>
    <x v="3"/>
    <x v="6"/>
    <x v="2"/>
    <m/>
  </r>
  <r>
    <x v="4"/>
    <d v="2025-12-07T00:00:00"/>
    <x v="4"/>
    <n v="14"/>
    <s v="CAÑA CHAQUETA"/>
    <x v="1"/>
    <x v="99"/>
    <x v="11"/>
    <x v="16"/>
    <x v="3"/>
    <x v="6"/>
    <x v="2"/>
    <m/>
  </r>
  <r>
    <x v="4"/>
    <d v="2025-12-07T00:00:00"/>
    <x v="4"/>
    <n v="14"/>
    <s v="CAÑA CHAQUETA"/>
    <x v="1"/>
    <x v="99"/>
    <x v="20"/>
    <x v="14"/>
    <x v="0"/>
    <x v="10"/>
    <x v="1"/>
    <m/>
  </r>
  <r>
    <x v="4"/>
    <d v="2025-12-07T00:00:00"/>
    <x v="4"/>
    <n v="14"/>
    <s v="CAÑA CHAQUETA"/>
    <x v="1"/>
    <x v="99"/>
    <x v="13"/>
    <x v="10"/>
    <x v="1"/>
    <x v="10"/>
    <x v="1"/>
    <m/>
  </r>
  <r>
    <x v="4"/>
    <d v="2025-12-07T00:00:00"/>
    <x v="4"/>
    <n v="14"/>
    <s v="CAÑA CHAQUETA"/>
    <x v="1"/>
    <x v="99"/>
    <x v="2"/>
    <x v="18"/>
    <x v="1"/>
    <x v="3"/>
    <x v="1"/>
    <m/>
  </r>
  <r>
    <x v="4"/>
    <d v="2025-12-07T00:00:00"/>
    <x v="4"/>
    <n v="14"/>
    <s v="CAÑA CHAQUETA"/>
    <x v="1"/>
    <x v="99"/>
    <x v="13"/>
    <x v="12"/>
    <x v="1"/>
    <x v="10"/>
    <x v="1"/>
    <m/>
  </r>
  <r>
    <x v="4"/>
    <d v="2025-12-07T00:00:00"/>
    <x v="4"/>
    <n v="14"/>
    <s v="CAÑA CHAQUETA"/>
    <x v="1"/>
    <x v="99"/>
    <x v="2"/>
    <x v="17"/>
    <x v="2"/>
    <x v="7"/>
    <x v="1"/>
    <m/>
  </r>
  <r>
    <x v="4"/>
    <d v="2025-12-07T00:00:00"/>
    <x v="4"/>
    <n v="14"/>
    <s v="CAÑA CHAQUETA"/>
    <x v="1"/>
    <x v="99"/>
    <x v="20"/>
    <x v="16"/>
    <x v="2"/>
    <x v="7"/>
    <x v="1"/>
    <m/>
  </r>
  <r>
    <x v="4"/>
    <d v="2025-12-07T00:00:00"/>
    <x v="4"/>
    <n v="14"/>
    <s v="CAÑA CHAQUETA"/>
    <x v="1"/>
    <x v="99"/>
    <x v="18"/>
    <x v="16"/>
    <x v="3"/>
    <x v="0"/>
    <x v="0"/>
    <m/>
  </r>
  <r>
    <x v="4"/>
    <d v="2025-12-07T00:00:00"/>
    <x v="4"/>
    <n v="14"/>
    <s v="CAÑA CHAQUETA"/>
    <x v="1"/>
    <x v="99"/>
    <x v="18"/>
    <x v="1"/>
    <x v="3"/>
    <x v="0"/>
    <x v="0"/>
    <m/>
  </r>
  <r>
    <x v="4"/>
    <d v="2025-12-07T00:00:00"/>
    <x v="4"/>
    <n v="14"/>
    <s v="CAÑA CHAQUETA"/>
    <x v="1"/>
    <x v="99"/>
    <x v="11"/>
    <x v="16"/>
    <x v="2"/>
    <x v="6"/>
    <x v="2"/>
    <m/>
  </r>
  <r>
    <x v="4"/>
    <d v="2025-12-07T00:00:00"/>
    <x v="4"/>
    <n v="14"/>
    <s v="CAÑA CHAQUETA"/>
    <x v="1"/>
    <x v="99"/>
    <x v="12"/>
    <x v="16"/>
    <x v="2"/>
    <x v="6"/>
    <x v="2"/>
    <m/>
  </r>
  <r>
    <x v="4"/>
    <d v="2025-12-07T00:00:00"/>
    <x v="4"/>
    <n v="14"/>
    <s v="CAÑA CHAQUETA"/>
    <x v="1"/>
    <x v="99"/>
    <x v="11"/>
    <x v="1"/>
    <x v="3"/>
    <x v="4"/>
    <x v="0"/>
    <m/>
  </r>
  <r>
    <x v="4"/>
    <d v="2025-12-07T00:00:00"/>
    <x v="4"/>
    <n v="14"/>
    <s v="CAÑA CHAQUETA"/>
    <x v="1"/>
    <x v="99"/>
    <x v="11"/>
    <x v="7"/>
    <x v="1"/>
    <x v="4"/>
    <x v="0"/>
    <m/>
  </r>
  <r>
    <x v="4"/>
    <d v="2025-12-07T00:00:00"/>
    <x v="4"/>
    <n v="14"/>
    <s v="CAÑA CHAQUETA"/>
    <x v="1"/>
    <x v="99"/>
    <x v="13"/>
    <x v="7"/>
    <x v="0"/>
    <x v="4"/>
    <x v="0"/>
    <m/>
  </r>
  <r>
    <x v="4"/>
    <d v="2025-12-07T00:00:00"/>
    <x v="4"/>
    <n v="14"/>
    <s v="CAÑA CHAQUETA"/>
    <x v="1"/>
    <x v="99"/>
    <x v="11"/>
    <x v="16"/>
    <x v="3"/>
    <x v="6"/>
    <x v="2"/>
    <m/>
  </r>
  <r>
    <x v="4"/>
    <d v="2025-12-07T00:00:00"/>
    <x v="4"/>
    <n v="14"/>
    <s v="CAÑA CHAQUETA"/>
    <x v="1"/>
    <x v="99"/>
    <x v="12"/>
    <x v="7"/>
    <x v="1"/>
    <x v="1"/>
    <x v="0"/>
    <m/>
  </r>
  <r>
    <x v="4"/>
    <d v="2025-12-07T00:00:00"/>
    <x v="4"/>
    <n v="14"/>
    <s v="CAÑA CHAQUETA"/>
    <x v="1"/>
    <x v="99"/>
    <x v="1"/>
    <x v="1"/>
    <x v="1"/>
    <x v="1"/>
    <x v="0"/>
    <m/>
  </r>
  <r>
    <x v="4"/>
    <d v="2025-12-07T00:00:00"/>
    <x v="4"/>
    <n v="14"/>
    <s v="CAÑA CHAQUETA"/>
    <x v="1"/>
    <x v="99"/>
    <x v="13"/>
    <x v="14"/>
    <x v="4"/>
    <x v="10"/>
    <x v="1"/>
    <m/>
  </r>
  <r>
    <x v="4"/>
    <d v="2025-12-07T00:00:00"/>
    <x v="4"/>
    <n v="14"/>
    <s v="CAÑA CHAQUETA"/>
    <x v="1"/>
    <x v="99"/>
    <x v="11"/>
    <x v="1"/>
    <x v="0"/>
    <x v="4"/>
    <x v="0"/>
    <m/>
  </r>
  <r>
    <x v="4"/>
    <d v="2025-12-07T00:00:00"/>
    <x v="4"/>
    <n v="14"/>
    <s v="CAÑA CHAQUETA"/>
    <x v="1"/>
    <x v="99"/>
    <x v="20"/>
    <x v="16"/>
    <x v="2"/>
    <x v="7"/>
    <x v="1"/>
    <m/>
  </r>
  <r>
    <x v="4"/>
    <d v="2025-12-07T00:00:00"/>
    <x v="4"/>
    <n v="14"/>
    <s v="CAÑA CHAQUETA"/>
    <x v="1"/>
    <x v="99"/>
    <x v="8"/>
    <x v="22"/>
    <x v="2"/>
    <x v="7"/>
    <x v="1"/>
    <m/>
  </r>
  <r>
    <x v="4"/>
    <d v="2025-12-07T00:00:00"/>
    <x v="4"/>
    <n v="14"/>
    <s v="CAÑA CHAQUETA"/>
    <x v="1"/>
    <x v="99"/>
    <x v="11"/>
    <x v="16"/>
    <x v="3"/>
    <x v="6"/>
    <x v="2"/>
    <m/>
  </r>
  <r>
    <x v="4"/>
    <d v="2025-12-07T00:00:00"/>
    <x v="4"/>
    <n v="14"/>
    <s v="CAÑA CHAQUETA"/>
    <x v="1"/>
    <x v="99"/>
    <x v="12"/>
    <x v="22"/>
    <x v="2"/>
    <x v="7"/>
    <x v="1"/>
    <m/>
  </r>
  <r>
    <x v="4"/>
    <d v="2025-12-07T00:00:00"/>
    <x v="4"/>
    <n v="14"/>
    <s v="CAÑA CHAQUETA"/>
    <x v="1"/>
    <x v="99"/>
    <x v="2"/>
    <x v="8"/>
    <x v="1"/>
    <x v="10"/>
    <x v="1"/>
    <m/>
  </r>
  <r>
    <x v="4"/>
    <d v="2025-12-07T00:00:00"/>
    <x v="4"/>
    <n v="14"/>
    <s v="CAÑA CHAQUETA"/>
    <x v="1"/>
    <x v="99"/>
    <x v="8"/>
    <x v="17"/>
    <x v="3"/>
    <x v="4"/>
    <x v="0"/>
    <m/>
  </r>
  <r>
    <x v="4"/>
    <d v="2025-12-07T00:00:00"/>
    <x v="4"/>
    <n v="14"/>
    <s v="CAÑA CHAQUETA"/>
    <x v="1"/>
    <x v="100"/>
    <x v="11"/>
    <x v="16"/>
    <x v="3"/>
    <x v="6"/>
    <x v="2"/>
    <m/>
  </r>
  <r>
    <x v="4"/>
    <d v="2025-12-07T00:00:00"/>
    <x v="4"/>
    <n v="14"/>
    <s v="CAÑA CHAQUETA"/>
    <x v="1"/>
    <x v="100"/>
    <x v="9"/>
    <x v="16"/>
    <x v="3"/>
    <x v="10"/>
    <x v="1"/>
    <m/>
  </r>
  <r>
    <x v="4"/>
    <d v="2025-12-07T00:00:00"/>
    <x v="4"/>
    <n v="14"/>
    <s v="CAÑA CHAQUETA"/>
    <x v="1"/>
    <x v="100"/>
    <x v="20"/>
    <x v="6"/>
    <x v="0"/>
    <x v="7"/>
    <x v="1"/>
    <m/>
  </r>
  <r>
    <x v="4"/>
    <d v="2025-12-07T00:00:00"/>
    <x v="4"/>
    <n v="14"/>
    <s v="CAÑA CHAQUETA"/>
    <x v="1"/>
    <x v="100"/>
    <x v="13"/>
    <x v="9"/>
    <x v="0"/>
    <x v="5"/>
    <x v="2"/>
    <m/>
  </r>
  <r>
    <x v="4"/>
    <d v="2025-12-07T00:00:00"/>
    <x v="4"/>
    <n v="14"/>
    <s v="CAÑA CHAQUETA"/>
    <x v="1"/>
    <x v="100"/>
    <x v="9"/>
    <x v="16"/>
    <x v="3"/>
    <x v="10"/>
    <x v="1"/>
    <m/>
  </r>
  <r>
    <x v="4"/>
    <d v="2025-12-07T00:00:00"/>
    <x v="4"/>
    <n v="14"/>
    <s v="CAÑA CHAQUETA"/>
    <x v="1"/>
    <x v="100"/>
    <x v="13"/>
    <x v="16"/>
    <x v="3"/>
    <x v="10"/>
    <x v="1"/>
    <m/>
  </r>
  <r>
    <x v="4"/>
    <d v="2025-12-07T00:00:00"/>
    <x v="4"/>
    <n v="14"/>
    <s v="CAÑA CHAQUETA"/>
    <x v="1"/>
    <x v="100"/>
    <x v="13"/>
    <x v="14"/>
    <x v="0"/>
    <x v="7"/>
    <x v="1"/>
    <m/>
  </r>
  <r>
    <x v="4"/>
    <d v="2025-12-07T00:00:00"/>
    <x v="4"/>
    <n v="14"/>
    <s v="CAÑA CHAQUETA"/>
    <x v="1"/>
    <x v="100"/>
    <x v="20"/>
    <x v="16"/>
    <x v="3"/>
    <x v="7"/>
    <x v="1"/>
    <m/>
  </r>
  <r>
    <x v="4"/>
    <d v="2025-12-07T00:00:00"/>
    <x v="4"/>
    <n v="14"/>
    <s v="CAÑA CHAQUETA"/>
    <x v="1"/>
    <x v="100"/>
    <x v="11"/>
    <x v="16"/>
    <x v="3"/>
    <x v="6"/>
    <x v="2"/>
    <m/>
  </r>
  <r>
    <x v="4"/>
    <d v="2025-12-07T00:00:00"/>
    <x v="4"/>
    <n v="14"/>
    <s v="CAÑA CHAQUETA"/>
    <x v="1"/>
    <x v="100"/>
    <x v="20"/>
    <x v="17"/>
    <x v="2"/>
    <x v="7"/>
    <x v="1"/>
    <m/>
  </r>
  <r>
    <x v="4"/>
    <d v="2025-12-07T00:00:00"/>
    <x v="4"/>
    <n v="14"/>
    <s v="CAÑA CHAQUETA"/>
    <x v="1"/>
    <x v="100"/>
    <x v="18"/>
    <x v="7"/>
    <x v="0"/>
    <x v="6"/>
    <x v="2"/>
    <m/>
  </r>
  <r>
    <x v="4"/>
    <d v="2025-12-07T00:00:00"/>
    <x v="4"/>
    <n v="14"/>
    <s v="CAÑA CHAQUETA"/>
    <x v="1"/>
    <x v="100"/>
    <x v="2"/>
    <x v="7"/>
    <x v="1"/>
    <x v="4"/>
    <x v="0"/>
    <m/>
  </r>
  <r>
    <x v="4"/>
    <d v="2025-12-07T00:00:00"/>
    <x v="4"/>
    <n v="14"/>
    <s v="CAÑA CHAQUETA"/>
    <x v="1"/>
    <x v="100"/>
    <x v="18"/>
    <x v="16"/>
    <x v="3"/>
    <x v="6"/>
    <x v="2"/>
    <m/>
  </r>
  <r>
    <x v="4"/>
    <d v="2025-12-07T00:00:00"/>
    <x v="4"/>
    <n v="14"/>
    <s v="CAÑA CHAQUETA"/>
    <x v="1"/>
    <x v="100"/>
    <x v="8"/>
    <x v="22"/>
    <x v="2"/>
    <x v="6"/>
    <x v="2"/>
    <m/>
  </r>
  <r>
    <x v="4"/>
    <d v="2025-12-07T00:00:00"/>
    <x v="4"/>
    <n v="14"/>
    <s v="CAÑA CHAQUETA"/>
    <x v="1"/>
    <x v="100"/>
    <x v="20"/>
    <x v="16"/>
    <x v="2"/>
    <x v="10"/>
    <x v="1"/>
    <m/>
  </r>
  <r>
    <x v="4"/>
    <d v="2025-12-07T00:00:00"/>
    <x v="4"/>
    <n v="14"/>
    <s v="CAÑA CHAQUETA"/>
    <x v="1"/>
    <x v="100"/>
    <x v="13"/>
    <x v="16"/>
    <x v="3"/>
    <x v="10"/>
    <x v="1"/>
    <m/>
  </r>
  <r>
    <x v="4"/>
    <d v="2025-12-07T00:00:00"/>
    <x v="4"/>
    <n v="14"/>
    <s v="CAÑA CHAQUETA"/>
    <x v="1"/>
    <x v="100"/>
    <x v="18"/>
    <x v="16"/>
    <x v="2"/>
    <x v="6"/>
    <x v="2"/>
    <m/>
  </r>
  <r>
    <x v="4"/>
    <d v="2025-12-07T00:00:00"/>
    <x v="4"/>
    <n v="14"/>
    <s v="CAÑA CHAQUETA"/>
    <x v="1"/>
    <x v="100"/>
    <x v="18"/>
    <x v="21"/>
    <x v="3"/>
    <x v="3"/>
    <x v="1"/>
    <m/>
  </r>
  <r>
    <x v="4"/>
    <d v="2025-12-07T00:00:00"/>
    <x v="4"/>
    <n v="14"/>
    <s v="CAÑA CHAQUETA"/>
    <x v="1"/>
    <x v="100"/>
    <x v="13"/>
    <x v="1"/>
    <x v="3"/>
    <x v="5"/>
    <x v="2"/>
    <m/>
  </r>
  <r>
    <x v="4"/>
    <d v="2025-12-07T00:00:00"/>
    <x v="4"/>
    <n v="14"/>
    <s v="CAÑA CHAQUETA"/>
    <x v="1"/>
    <x v="100"/>
    <x v="1"/>
    <x v="14"/>
    <x v="2"/>
    <x v="2"/>
    <x v="1"/>
    <m/>
  </r>
  <r>
    <x v="4"/>
    <d v="2025-12-07T00:00:00"/>
    <x v="4"/>
    <n v="14"/>
    <s v="CAÑA CHAQUETA"/>
    <x v="1"/>
    <x v="100"/>
    <x v="20"/>
    <x v="14"/>
    <x v="4"/>
    <x v="10"/>
    <x v="1"/>
    <m/>
  </r>
  <r>
    <x v="4"/>
    <d v="2025-12-07T00:00:00"/>
    <x v="4"/>
    <n v="14"/>
    <s v="CAÑA CHAQUETA"/>
    <x v="1"/>
    <x v="100"/>
    <x v="1"/>
    <x v="12"/>
    <x v="1"/>
    <x v="3"/>
    <x v="1"/>
    <m/>
  </r>
  <r>
    <x v="4"/>
    <d v="2025-12-07T00:00:00"/>
    <x v="4"/>
    <n v="14"/>
    <s v="CAÑA CHAQUETA"/>
    <x v="1"/>
    <x v="100"/>
    <x v="11"/>
    <x v="16"/>
    <x v="3"/>
    <x v="6"/>
    <x v="2"/>
    <m/>
  </r>
  <r>
    <x v="4"/>
    <d v="2025-12-07T00:00:00"/>
    <x v="4"/>
    <n v="14"/>
    <s v="CAÑA CHAQUETA"/>
    <x v="1"/>
    <x v="100"/>
    <x v="8"/>
    <x v="16"/>
    <x v="3"/>
    <x v="7"/>
    <x v="1"/>
    <m/>
  </r>
  <r>
    <x v="4"/>
    <d v="2025-12-07T00:00:00"/>
    <x v="4"/>
    <n v="14"/>
    <s v="CAÑA CHAQUETA"/>
    <x v="1"/>
    <x v="100"/>
    <x v="8"/>
    <x v="22"/>
    <x v="3"/>
    <x v="7"/>
    <x v="1"/>
    <m/>
  </r>
  <r>
    <x v="4"/>
    <d v="2025-12-07T00:00:00"/>
    <x v="4"/>
    <n v="14"/>
    <s v="CAÑA CHAQUETA"/>
    <x v="1"/>
    <x v="100"/>
    <x v="20"/>
    <x v="22"/>
    <x v="3"/>
    <x v="7"/>
    <x v="1"/>
    <m/>
  </r>
  <r>
    <x v="4"/>
    <d v="2025-12-07T00:00:00"/>
    <x v="4"/>
    <n v="14"/>
    <s v="CAÑA CHAQUETA"/>
    <x v="1"/>
    <x v="100"/>
    <x v="8"/>
    <x v="22"/>
    <x v="3"/>
    <x v="7"/>
    <x v="1"/>
    <m/>
  </r>
  <r>
    <x v="4"/>
    <d v="2025-12-07T00:00:00"/>
    <x v="4"/>
    <n v="14"/>
    <s v="CAÑA CHAQUETA"/>
    <x v="1"/>
    <x v="100"/>
    <x v="11"/>
    <x v="14"/>
    <x v="4"/>
    <x v="1"/>
    <x v="0"/>
    <m/>
  </r>
  <r>
    <x v="4"/>
    <d v="2025-12-07T00:00:00"/>
    <x v="4"/>
    <n v="14"/>
    <s v="CAÑA CHAQUETA"/>
    <x v="1"/>
    <x v="100"/>
    <x v="20"/>
    <x v="17"/>
    <x v="2"/>
    <x v="7"/>
    <x v="1"/>
    <m/>
  </r>
  <r>
    <x v="4"/>
    <d v="2025-12-07T00:00:00"/>
    <x v="4"/>
    <n v="14"/>
    <s v="CAÑA CHAQUETA"/>
    <x v="1"/>
    <x v="100"/>
    <x v="20"/>
    <x v="16"/>
    <x v="2"/>
    <x v="7"/>
    <x v="1"/>
    <m/>
  </r>
  <r>
    <x v="4"/>
    <d v="2025-12-07T00:00:00"/>
    <x v="4"/>
    <n v="14"/>
    <s v="CAÑA CHAQUETA"/>
    <x v="1"/>
    <x v="100"/>
    <x v="11"/>
    <x v="18"/>
    <x v="1"/>
    <x v="5"/>
    <x v="2"/>
    <m/>
  </r>
  <r>
    <x v="4"/>
    <d v="2025-12-07T00:00:00"/>
    <x v="4"/>
    <n v="14"/>
    <s v="CAÑA CHAQUETA"/>
    <x v="1"/>
    <x v="100"/>
    <x v="20"/>
    <x v="10"/>
    <x v="1"/>
    <x v="10"/>
    <x v="1"/>
    <m/>
  </r>
  <r>
    <x v="4"/>
    <d v="2025-12-07T00:00:00"/>
    <x v="4"/>
    <n v="14"/>
    <s v="CAÑA CHAQUETA"/>
    <x v="1"/>
    <x v="100"/>
    <x v="20"/>
    <x v="1"/>
    <x v="1"/>
    <x v="10"/>
    <x v="1"/>
    <m/>
  </r>
  <r>
    <x v="4"/>
    <d v="2025-12-07T00:00:00"/>
    <x v="4"/>
    <n v="14"/>
    <s v="CAÑA CHAQUETA"/>
    <x v="1"/>
    <x v="100"/>
    <x v="8"/>
    <x v="3"/>
    <x v="3"/>
    <x v="3"/>
    <x v="1"/>
    <m/>
  </r>
  <r>
    <x v="4"/>
    <d v="2025-12-07T00:00:00"/>
    <x v="4"/>
    <n v="14"/>
    <s v="CAÑA CHAQUETA"/>
    <x v="1"/>
    <x v="100"/>
    <x v="13"/>
    <x v="16"/>
    <x v="3"/>
    <x v="6"/>
    <x v="2"/>
    <m/>
  </r>
  <r>
    <x v="4"/>
    <d v="2025-12-07T00:00:00"/>
    <x v="4"/>
    <n v="14"/>
    <s v="CAÑA CHAQUETA"/>
    <x v="1"/>
    <x v="100"/>
    <x v="13"/>
    <x v="8"/>
    <x v="1"/>
    <x v="6"/>
    <x v="2"/>
    <m/>
  </r>
  <r>
    <x v="4"/>
    <d v="2025-12-07T00:00:00"/>
    <x v="4"/>
    <n v="14"/>
    <s v="CAÑA CHAQUETA"/>
    <x v="1"/>
    <x v="100"/>
    <x v="8"/>
    <x v="22"/>
    <x v="2"/>
    <x v="5"/>
    <x v="2"/>
    <m/>
  </r>
  <r>
    <x v="4"/>
    <d v="2025-12-07T00:00:00"/>
    <x v="4"/>
    <n v="14"/>
    <s v="CAÑA CHAQUETA"/>
    <x v="1"/>
    <x v="100"/>
    <x v="9"/>
    <x v="16"/>
    <x v="3"/>
    <x v="4"/>
    <x v="0"/>
    <m/>
  </r>
  <r>
    <x v="4"/>
    <d v="2025-12-07T00:00:00"/>
    <x v="4"/>
    <n v="14"/>
    <s v="CAÑA CHAQUETA"/>
    <x v="1"/>
    <x v="100"/>
    <x v="1"/>
    <x v="1"/>
    <x v="3"/>
    <x v="1"/>
    <x v="0"/>
    <m/>
  </r>
  <r>
    <x v="4"/>
    <d v="2025-12-07T00:00:00"/>
    <x v="4"/>
    <n v="14"/>
    <s v="CAÑA CHAQUETA"/>
    <x v="1"/>
    <x v="100"/>
    <x v="12"/>
    <x v="7"/>
    <x v="1"/>
    <x v="5"/>
    <x v="2"/>
    <m/>
  </r>
  <r>
    <x v="4"/>
    <d v="2025-12-07T00:00:00"/>
    <x v="4"/>
    <n v="14"/>
    <s v="CAÑA CHAQUETA"/>
    <x v="1"/>
    <x v="100"/>
    <x v="13"/>
    <x v="6"/>
    <x v="1"/>
    <x v="10"/>
    <x v="1"/>
    <m/>
  </r>
  <r>
    <x v="4"/>
    <d v="2025-12-07T00:00:00"/>
    <x v="4"/>
    <n v="14"/>
    <s v="CAÑA CHAQUETA"/>
    <x v="1"/>
    <x v="100"/>
    <x v="8"/>
    <x v="12"/>
    <x v="0"/>
    <x v="7"/>
    <x v="1"/>
    <m/>
  </r>
  <r>
    <x v="4"/>
    <d v="2025-12-07T00:00:00"/>
    <x v="4"/>
    <n v="14"/>
    <s v="CAÑA CHAQUETA"/>
    <x v="1"/>
    <x v="100"/>
    <x v="8"/>
    <x v="17"/>
    <x v="2"/>
    <x v="7"/>
    <x v="1"/>
    <m/>
  </r>
  <r>
    <x v="4"/>
    <d v="2025-12-07T00:00:00"/>
    <x v="4"/>
    <n v="14"/>
    <s v="CAÑA CHAQUETA"/>
    <x v="1"/>
    <x v="100"/>
    <x v="0"/>
    <x v="17"/>
    <x v="3"/>
    <x v="6"/>
    <x v="2"/>
    <m/>
  </r>
  <r>
    <x v="4"/>
    <d v="2025-12-07T00:00:00"/>
    <x v="4"/>
    <n v="14"/>
    <s v="CAÑA CHAQUETA"/>
    <x v="1"/>
    <x v="101"/>
    <x v="13"/>
    <x v="7"/>
    <x v="1"/>
    <x v="10"/>
    <x v="1"/>
    <m/>
  </r>
  <r>
    <x v="4"/>
    <d v="2025-12-07T00:00:00"/>
    <x v="4"/>
    <n v="14"/>
    <s v="CAÑA CHAQUETA"/>
    <x v="1"/>
    <x v="101"/>
    <x v="13"/>
    <x v="22"/>
    <x v="3"/>
    <x v="5"/>
    <x v="2"/>
    <m/>
  </r>
  <r>
    <x v="4"/>
    <d v="2025-12-07T00:00:00"/>
    <x v="4"/>
    <n v="14"/>
    <s v="CAÑA CHAQUETA"/>
    <x v="1"/>
    <x v="101"/>
    <x v="2"/>
    <x v="22"/>
    <x v="3"/>
    <x v="2"/>
    <x v="1"/>
    <m/>
  </r>
  <r>
    <x v="4"/>
    <d v="2025-12-07T00:00:00"/>
    <x v="4"/>
    <n v="14"/>
    <s v="CAÑA CHAQUETA"/>
    <x v="1"/>
    <x v="101"/>
    <x v="2"/>
    <x v="14"/>
    <x v="0"/>
    <x v="2"/>
    <x v="1"/>
    <m/>
  </r>
  <r>
    <x v="4"/>
    <d v="2025-12-07T00:00:00"/>
    <x v="4"/>
    <n v="14"/>
    <s v="CAÑA CHAQUETA"/>
    <x v="1"/>
    <x v="101"/>
    <x v="8"/>
    <x v="17"/>
    <x v="3"/>
    <x v="3"/>
    <x v="1"/>
    <m/>
  </r>
  <r>
    <x v="4"/>
    <d v="2025-12-07T00:00:00"/>
    <x v="4"/>
    <n v="14"/>
    <s v="CAÑA CHAQUETA"/>
    <x v="1"/>
    <x v="101"/>
    <x v="8"/>
    <x v="19"/>
    <x v="1"/>
    <x v="3"/>
    <x v="1"/>
    <m/>
  </r>
  <r>
    <x v="4"/>
    <d v="2025-12-07T00:00:00"/>
    <x v="4"/>
    <n v="14"/>
    <s v="CAÑA CHAQUETA"/>
    <x v="1"/>
    <x v="101"/>
    <x v="11"/>
    <x v="18"/>
    <x v="1"/>
    <x v="6"/>
    <x v="2"/>
    <m/>
  </r>
  <r>
    <x v="4"/>
    <d v="2025-12-07T00:00:00"/>
    <x v="4"/>
    <n v="14"/>
    <s v="CAÑA CHAQUETA"/>
    <x v="1"/>
    <x v="101"/>
    <x v="13"/>
    <x v="22"/>
    <x v="1"/>
    <x v="7"/>
    <x v="1"/>
    <m/>
  </r>
  <r>
    <x v="4"/>
    <d v="2025-12-07T00:00:00"/>
    <x v="4"/>
    <n v="14"/>
    <s v="CAÑA CHAQUETA"/>
    <x v="1"/>
    <x v="101"/>
    <x v="13"/>
    <x v="14"/>
    <x v="4"/>
    <x v="7"/>
    <x v="1"/>
    <m/>
  </r>
  <r>
    <x v="4"/>
    <d v="2025-12-07T00:00:00"/>
    <x v="4"/>
    <n v="14"/>
    <s v="CAÑA CHAQUETA"/>
    <x v="1"/>
    <x v="101"/>
    <x v="13"/>
    <x v="21"/>
    <x v="0"/>
    <x v="10"/>
    <x v="1"/>
    <m/>
  </r>
  <r>
    <x v="4"/>
    <d v="2025-12-07T00:00:00"/>
    <x v="4"/>
    <n v="14"/>
    <s v="CAÑA CHAQUETA"/>
    <x v="1"/>
    <x v="101"/>
    <x v="8"/>
    <x v="18"/>
    <x v="1"/>
    <x v="5"/>
    <x v="2"/>
    <m/>
  </r>
  <r>
    <x v="4"/>
    <d v="2025-12-07T00:00:00"/>
    <x v="4"/>
    <n v="14"/>
    <s v="CAÑA CHAQUETA"/>
    <x v="1"/>
    <x v="101"/>
    <x v="13"/>
    <x v="11"/>
    <x v="1"/>
    <x v="5"/>
    <x v="2"/>
    <m/>
  </r>
  <r>
    <x v="4"/>
    <d v="2025-12-07T00:00:00"/>
    <x v="4"/>
    <n v="14"/>
    <s v="CAÑA CHAQUETA"/>
    <x v="1"/>
    <x v="101"/>
    <x v="8"/>
    <x v="7"/>
    <x v="1"/>
    <x v="5"/>
    <x v="2"/>
    <m/>
  </r>
  <r>
    <x v="4"/>
    <d v="2025-12-07T00:00:00"/>
    <x v="4"/>
    <n v="14"/>
    <s v="CAÑA CHAQUETA"/>
    <x v="1"/>
    <x v="101"/>
    <x v="0"/>
    <x v="16"/>
    <x v="2"/>
    <x v="9"/>
    <x v="1"/>
    <m/>
  </r>
  <r>
    <x v="4"/>
    <d v="2025-12-07T00:00:00"/>
    <x v="4"/>
    <n v="14"/>
    <s v="CAÑA CHAQUETA"/>
    <x v="1"/>
    <x v="101"/>
    <x v="18"/>
    <x v="16"/>
    <x v="3"/>
    <x v="6"/>
    <x v="2"/>
    <m/>
  </r>
  <r>
    <x v="4"/>
    <d v="2025-12-07T00:00:00"/>
    <x v="4"/>
    <n v="14"/>
    <s v="CAÑA CHAQUETA"/>
    <x v="1"/>
    <x v="101"/>
    <x v="13"/>
    <x v="17"/>
    <x v="3"/>
    <x v="10"/>
    <x v="1"/>
    <m/>
  </r>
  <r>
    <x v="4"/>
    <d v="2025-12-07T00:00:00"/>
    <x v="4"/>
    <n v="14"/>
    <s v="CAÑA CHAQUETA"/>
    <x v="1"/>
    <x v="101"/>
    <x v="13"/>
    <x v="21"/>
    <x v="0"/>
    <x v="4"/>
    <x v="0"/>
    <m/>
  </r>
  <r>
    <x v="4"/>
    <d v="2025-12-07T00:00:00"/>
    <x v="4"/>
    <n v="14"/>
    <s v="CAÑA CHAQUETA"/>
    <x v="1"/>
    <x v="101"/>
    <x v="13"/>
    <x v="1"/>
    <x v="1"/>
    <x v="10"/>
    <x v="1"/>
    <m/>
  </r>
  <r>
    <x v="4"/>
    <d v="2025-12-07T00:00:00"/>
    <x v="4"/>
    <n v="14"/>
    <s v="CAÑA CHAQUETA"/>
    <x v="1"/>
    <x v="101"/>
    <x v="13"/>
    <x v="1"/>
    <x v="1"/>
    <x v="10"/>
    <x v="1"/>
    <m/>
  </r>
  <r>
    <x v="4"/>
    <d v="2025-12-07T00:00:00"/>
    <x v="4"/>
    <n v="14"/>
    <s v="CAÑA CHAQUETA"/>
    <x v="1"/>
    <x v="101"/>
    <x v="11"/>
    <x v="2"/>
    <x v="1"/>
    <x v="6"/>
    <x v="2"/>
    <m/>
  </r>
  <r>
    <x v="4"/>
    <d v="2025-12-07T00:00:00"/>
    <x v="4"/>
    <n v="14"/>
    <s v="CAÑA CHAQUETA"/>
    <x v="1"/>
    <x v="101"/>
    <x v="9"/>
    <x v="16"/>
    <x v="3"/>
    <x v="4"/>
    <x v="0"/>
    <m/>
  </r>
  <r>
    <x v="4"/>
    <d v="2025-12-07T00:00:00"/>
    <x v="4"/>
    <n v="14"/>
    <s v="CAÑA CHAQUETA"/>
    <x v="1"/>
    <x v="101"/>
    <x v="13"/>
    <x v="12"/>
    <x v="1"/>
    <x v="10"/>
    <x v="1"/>
    <m/>
  </r>
  <r>
    <x v="4"/>
    <d v="2025-12-07T00:00:00"/>
    <x v="4"/>
    <n v="14"/>
    <s v="CAÑA CHAQUETA"/>
    <x v="1"/>
    <x v="101"/>
    <x v="18"/>
    <x v="16"/>
    <x v="3"/>
    <x v="6"/>
    <x v="2"/>
    <m/>
  </r>
  <r>
    <x v="4"/>
    <d v="2025-12-07T00:00:00"/>
    <x v="4"/>
    <n v="14"/>
    <s v="CAÑA CHAQUETA"/>
    <x v="1"/>
    <x v="101"/>
    <x v="8"/>
    <x v="22"/>
    <x v="2"/>
    <x v="5"/>
    <x v="2"/>
    <m/>
  </r>
  <r>
    <x v="4"/>
    <d v="2025-12-07T00:00:00"/>
    <x v="4"/>
    <n v="14"/>
    <s v="CAÑA CHAQUETA"/>
    <x v="1"/>
    <x v="101"/>
    <x v="0"/>
    <x v="17"/>
    <x v="2"/>
    <x v="0"/>
    <x v="0"/>
    <m/>
  </r>
  <r>
    <x v="4"/>
    <d v="2025-12-07T00:00:00"/>
    <x v="4"/>
    <n v="14"/>
    <s v="CAÑA CHAQUETA"/>
    <x v="1"/>
    <x v="101"/>
    <x v="11"/>
    <x v="16"/>
    <x v="3"/>
    <x v="6"/>
    <x v="2"/>
    <m/>
  </r>
  <r>
    <x v="4"/>
    <d v="2025-12-07T00:00:00"/>
    <x v="4"/>
    <n v="14"/>
    <s v="CAÑA CHAQUETA"/>
    <x v="1"/>
    <x v="101"/>
    <x v="9"/>
    <x v="16"/>
    <x v="3"/>
    <x v="6"/>
    <x v="2"/>
    <m/>
  </r>
  <r>
    <x v="4"/>
    <d v="2025-12-07T00:00:00"/>
    <x v="4"/>
    <n v="14"/>
    <s v="CAÑA CHAQUETA"/>
    <x v="1"/>
    <x v="101"/>
    <x v="11"/>
    <x v="16"/>
    <x v="3"/>
    <x v="5"/>
    <x v="2"/>
    <m/>
  </r>
  <r>
    <x v="4"/>
    <d v="2025-12-07T00:00:00"/>
    <x v="4"/>
    <n v="14"/>
    <s v="CAÑA CHAQUETA"/>
    <x v="1"/>
    <x v="102"/>
    <x v="0"/>
    <x v="17"/>
    <x v="3"/>
    <x v="7"/>
    <x v="1"/>
    <m/>
  </r>
  <r>
    <x v="4"/>
    <d v="2025-12-07T00:00:00"/>
    <x v="4"/>
    <n v="14"/>
    <s v="CAÑA CHAQUETA"/>
    <x v="1"/>
    <x v="102"/>
    <x v="13"/>
    <x v="7"/>
    <x v="0"/>
    <x v="10"/>
    <x v="1"/>
    <m/>
  </r>
  <r>
    <x v="4"/>
    <d v="2025-12-07T00:00:00"/>
    <x v="4"/>
    <n v="14"/>
    <s v="CAÑA CHAQUETA"/>
    <x v="1"/>
    <x v="102"/>
    <x v="11"/>
    <x v="16"/>
    <x v="3"/>
    <x v="6"/>
    <x v="2"/>
    <m/>
  </r>
  <r>
    <x v="4"/>
    <d v="2025-12-07T00:00:00"/>
    <x v="4"/>
    <n v="14"/>
    <s v="CAÑA CHAQUETA"/>
    <x v="1"/>
    <x v="102"/>
    <x v="8"/>
    <x v="22"/>
    <x v="3"/>
    <x v="5"/>
    <x v="2"/>
    <m/>
  </r>
  <r>
    <x v="4"/>
    <d v="2025-12-07T00:00:00"/>
    <x v="4"/>
    <n v="14"/>
    <s v="CAÑA CHAQUETA"/>
    <x v="1"/>
    <x v="102"/>
    <x v="9"/>
    <x v="16"/>
    <x v="0"/>
    <x v="6"/>
    <x v="2"/>
    <m/>
  </r>
  <r>
    <x v="4"/>
    <d v="2025-12-07T00:00:00"/>
    <x v="4"/>
    <n v="14"/>
    <s v="CAÑA CHAQUETA"/>
    <x v="1"/>
    <x v="102"/>
    <x v="0"/>
    <x v="22"/>
    <x v="3"/>
    <x v="0"/>
    <x v="0"/>
    <m/>
  </r>
  <r>
    <x v="4"/>
    <d v="2025-12-07T00:00:00"/>
    <x v="4"/>
    <n v="14"/>
    <s v="CAÑA CHAQUETA"/>
    <x v="1"/>
    <x v="102"/>
    <x v="3"/>
    <x v="8"/>
    <x v="1"/>
    <x v="7"/>
    <x v="1"/>
    <m/>
  </r>
  <r>
    <x v="4"/>
    <d v="2025-12-07T00:00:00"/>
    <x v="4"/>
    <n v="14"/>
    <s v="CAÑA CHAQUETA"/>
    <x v="1"/>
    <x v="102"/>
    <x v="9"/>
    <x v="16"/>
    <x v="3"/>
    <x v="4"/>
    <x v="0"/>
    <m/>
  </r>
  <r>
    <x v="4"/>
    <d v="2025-12-07T00:00:00"/>
    <x v="4"/>
    <n v="14"/>
    <s v="CAÑA CHAQUETA"/>
    <x v="1"/>
    <x v="102"/>
    <x v="3"/>
    <x v="22"/>
    <x v="3"/>
    <x v="7"/>
    <x v="1"/>
    <m/>
  </r>
  <r>
    <x v="4"/>
    <d v="2025-12-07T00:00:00"/>
    <x v="4"/>
    <n v="14"/>
    <s v="CAÑA CHAQUETA"/>
    <x v="1"/>
    <x v="102"/>
    <x v="8"/>
    <x v="17"/>
    <x v="3"/>
    <x v="5"/>
    <x v="2"/>
    <m/>
  </r>
  <r>
    <x v="4"/>
    <d v="2025-12-07T00:00:00"/>
    <x v="4"/>
    <n v="14"/>
    <s v="CAÑA CHAQUETA"/>
    <x v="1"/>
    <x v="102"/>
    <x v="8"/>
    <x v="16"/>
    <x v="3"/>
    <x v="5"/>
    <x v="2"/>
    <m/>
  </r>
  <r>
    <x v="4"/>
    <d v="2025-12-07T00:00:00"/>
    <x v="4"/>
    <n v="14"/>
    <s v="CAÑA CHAQUETA"/>
    <x v="1"/>
    <x v="102"/>
    <x v="11"/>
    <x v="9"/>
    <x v="0"/>
    <x v="5"/>
    <x v="2"/>
    <m/>
  </r>
  <r>
    <x v="4"/>
    <d v="2025-12-07T00:00:00"/>
    <x v="4"/>
    <n v="14"/>
    <s v="CAÑA CHAQUETA"/>
    <x v="1"/>
    <x v="102"/>
    <x v="11"/>
    <x v="16"/>
    <x v="2"/>
    <x v="6"/>
    <x v="2"/>
    <m/>
  </r>
  <r>
    <x v="4"/>
    <d v="2025-12-07T00:00:00"/>
    <x v="4"/>
    <n v="14"/>
    <s v="CAÑA CHAQUETA"/>
    <x v="1"/>
    <x v="102"/>
    <x v="3"/>
    <x v="11"/>
    <x v="0"/>
    <x v="5"/>
    <x v="2"/>
    <m/>
  </r>
  <r>
    <x v="4"/>
    <d v="2025-12-07T00:00:00"/>
    <x v="4"/>
    <n v="14"/>
    <s v="CAÑA CHAQUETA"/>
    <x v="1"/>
    <x v="102"/>
    <x v="0"/>
    <x v="16"/>
    <x v="2"/>
    <x v="7"/>
    <x v="1"/>
    <m/>
  </r>
  <r>
    <x v="4"/>
    <d v="2025-12-07T00:00:00"/>
    <x v="4"/>
    <n v="14"/>
    <s v="CAÑA CHAQUETA"/>
    <x v="1"/>
    <x v="102"/>
    <x v="1"/>
    <x v="21"/>
    <x v="1"/>
    <x v="3"/>
    <x v="1"/>
    <m/>
  </r>
  <r>
    <x v="4"/>
    <d v="2025-12-07T00:00:00"/>
    <x v="4"/>
    <n v="14"/>
    <s v="CAÑA CHAQUETA"/>
    <x v="1"/>
    <x v="102"/>
    <x v="10"/>
    <x v="17"/>
    <x v="2"/>
    <x v="7"/>
    <x v="1"/>
    <m/>
  </r>
  <r>
    <x v="4"/>
    <d v="2025-12-07T00:00:00"/>
    <x v="4"/>
    <n v="14"/>
    <s v="CAÑA CHAQUETA"/>
    <x v="1"/>
    <x v="102"/>
    <x v="5"/>
    <x v="1"/>
    <x v="3"/>
    <x v="5"/>
    <x v="2"/>
    <m/>
  </r>
  <r>
    <x v="4"/>
    <d v="2025-12-07T00:00:00"/>
    <x v="4"/>
    <n v="14"/>
    <s v="CAÑA CHAQUETA"/>
    <x v="1"/>
    <x v="102"/>
    <x v="10"/>
    <x v="6"/>
    <x v="1"/>
    <x v="3"/>
    <x v="1"/>
    <m/>
  </r>
  <r>
    <x v="4"/>
    <d v="2025-12-07T00:00:00"/>
    <x v="4"/>
    <n v="14"/>
    <s v="CAÑA CHAQUETA"/>
    <x v="1"/>
    <x v="102"/>
    <x v="12"/>
    <x v="5"/>
    <x v="0"/>
    <x v="5"/>
    <x v="2"/>
    <m/>
  </r>
  <r>
    <x v="4"/>
    <d v="2025-12-07T00:00:00"/>
    <x v="4"/>
    <n v="14"/>
    <s v="CAÑA CHAQUETA"/>
    <x v="1"/>
    <x v="102"/>
    <x v="10"/>
    <x v="6"/>
    <x v="0"/>
    <x v="7"/>
    <x v="1"/>
    <m/>
  </r>
  <r>
    <x v="4"/>
    <d v="2025-12-07T00:00:00"/>
    <x v="4"/>
    <n v="14"/>
    <s v="CAÑA CHAQUETA"/>
    <x v="1"/>
    <x v="102"/>
    <x v="3"/>
    <x v="7"/>
    <x v="1"/>
    <x v="7"/>
    <x v="1"/>
    <m/>
  </r>
  <r>
    <x v="4"/>
    <d v="2025-12-07T00:00:00"/>
    <x v="4"/>
    <n v="14"/>
    <s v="CAÑA CHAQUETA"/>
    <x v="1"/>
    <x v="102"/>
    <x v="1"/>
    <x v="11"/>
    <x v="1"/>
    <x v="1"/>
    <x v="0"/>
    <m/>
  </r>
  <r>
    <x v="4"/>
    <d v="2025-12-07T00:00:00"/>
    <x v="4"/>
    <n v="14"/>
    <s v="CAÑA CHAQUETA"/>
    <x v="1"/>
    <x v="102"/>
    <x v="18"/>
    <x v="16"/>
    <x v="2"/>
    <x v="2"/>
    <x v="1"/>
    <m/>
  </r>
  <r>
    <x v="4"/>
    <d v="2025-12-07T00:00:00"/>
    <x v="4"/>
    <n v="14"/>
    <s v="CAÑA CHAQUETA"/>
    <x v="1"/>
    <x v="102"/>
    <x v="10"/>
    <x v="22"/>
    <x v="3"/>
    <x v="2"/>
    <x v="1"/>
    <m/>
  </r>
  <r>
    <x v="4"/>
    <d v="2025-12-07T00:00:00"/>
    <x v="4"/>
    <n v="14"/>
    <s v="CAÑA CHAQUETA"/>
    <x v="1"/>
    <x v="102"/>
    <x v="10"/>
    <x v="13"/>
    <x v="1"/>
    <x v="2"/>
    <x v="1"/>
    <m/>
  </r>
  <r>
    <x v="4"/>
    <d v="2025-12-07T00:00:00"/>
    <x v="4"/>
    <n v="14"/>
    <s v="CAÑA CHAQUETA"/>
    <x v="1"/>
    <x v="102"/>
    <x v="10"/>
    <x v="6"/>
    <x v="3"/>
    <x v="7"/>
    <x v="1"/>
    <m/>
  </r>
  <r>
    <x v="4"/>
    <d v="2025-12-07T00:00:00"/>
    <x v="4"/>
    <n v="14"/>
    <s v="CAÑA CHAQUETA"/>
    <x v="1"/>
    <x v="102"/>
    <x v="10"/>
    <x v="7"/>
    <x v="5"/>
    <x v="7"/>
    <x v="1"/>
    <m/>
  </r>
  <r>
    <x v="4"/>
    <d v="2025-12-07T00:00:00"/>
    <x v="4"/>
    <n v="14"/>
    <s v="CAÑA CHAQUETA"/>
    <x v="1"/>
    <x v="102"/>
    <x v="8"/>
    <x v="12"/>
    <x v="1"/>
    <x v="7"/>
    <x v="1"/>
    <m/>
  </r>
  <r>
    <x v="4"/>
    <d v="2025-12-07T00:00:00"/>
    <x v="4"/>
    <n v="14"/>
    <s v="CAÑA CHAQUETA"/>
    <x v="1"/>
    <x v="102"/>
    <x v="10"/>
    <x v="19"/>
    <x v="1"/>
    <x v="10"/>
    <x v="1"/>
    <m/>
  </r>
  <r>
    <x v="4"/>
    <d v="2025-12-07T00:00:00"/>
    <x v="4"/>
    <n v="14"/>
    <s v="CAÑA CHAQUETA"/>
    <x v="1"/>
    <x v="102"/>
    <x v="8"/>
    <x v="22"/>
    <x v="2"/>
    <x v="7"/>
    <x v="1"/>
    <m/>
  </r>
  <r>
    <x v="4"/>
    <d v="2025-12-07T00:00:00"/>
    <x v="4"/>
    <n v="14"/>
    <s v="CAÑA CHAQUETA"/>
    <x v="1"/>
    <x v="102"/>
    <x v="18"/>
    <x v="16"/>
    <x v="2"/>
    <x v="7"/>
    <x v="1"/>
    <m/>
  </r>
  <r>
    <x v="4"/>
    <d v="2025-12-07T00:00:00"/>
    <x v="4"/>
    <n v="14"/>
    <s v="CAÑA CHAQUETA"/>
    <x v="1"/>
    <x v="102"/>
    <x v="5"/>
    <x v="17"/>
    <x v="3"/>
    <x v="7"/>
    <x v="1"/>
    <m/>
  </r>
  <r>
    <x v="4"/>
    <d v="2025-12-07T00:00:00"/>
    <x v="4"/>
    <n v="14"/>
    <s v="CAÑA CHAQUETA"/>
    <x v="1"/>
    <x v="102"/>
    <x v="10"/>
    <x v="16"/>
    <x v="3"/>
    <x v="3"/>
    <x v="1"/>
    <m/>
  </r>
  <r>
    <x v="4"/>
    <d v="2025-12-07T00:00:00"/>
    <x v="4"/>
    <n v="14"/>
    <s v="CAÑA CHAQUETA"/>
    <x v="1"/>
    <x v="102"/>
    <x v="22"/>
    <x v="16"/>
    <x v="3"/>
    <x v="4"/>
    <x v="0"/>
    <m/>
  </r>
  <r>
    <x v="4"/>
    <d v="2025-12-07T00:00:00"/>
    <x v="4"/>
    <n v="14"/>
    <s v="CAÑA CHAQUETA"/>
    <x v="1"/>
    <x v="102"/>
    <x v="5"/>
    <x v="5"/>
    <x v="0"/>
    <x v="4"/>
    <x v="0"/>
    <m/>
  </r>
  <r>
    <x v="4"/>
    <d v="2025-12-07T00:00:00"/>
    <x v="4"/>
    <n v="14"/>
    <s v="CAÑA CHAQUETA"/>
    <x v="1"/>
    <x v="102"/>
    <x v="7"/>
    <x v="1"/>
    <x v="1"/>
    <x v="4"/>
    <x v="0"/>
    <m/>
  </r>
  <r>
    <x v="4"/>
    <d v="2025-12-07T00:00:00"/>
    <x v="4"/>
    <n v="14"/>
    <s v="CAÑA CHAQUETA"/>
    <x v="1"/>
    <x v="102"/>
    <x v="18"/>
    <x v="17"/>
    <x v="3"/>
    <x v="1"/>
    <x v="0"/>
    <m/>
  </r>
  <r>
    <x v="5"/>
    <d v="2026-01-04T00:00:00"/>
    <x v="5"/>
    <n v="15"/>
    <s v="Cuevas"/>
    <x v="1"/>
    <x v="97"/>
    <x v="11"/>
    <x v="7"/>
    <x v="1"/>
    <x v="6"/>
    <x v="2"/>
    <m/>
  </r>
  <r>
    <x v="5"/>
    <d v="2026-01-04T00:00:00"/>
    <x v="5"/>
    <n v="15"/>
    <s v="Cuevas"/>
    <x v="1"/>
    <x v="97"/>
    <x v="8"/>
    <x v="16"/>
    <x v="3"/>
    <x v="5"/>
    <x v="2"/>
    <m/>
  </r>
  <r>
    <x v="5"/>
    <d v="2026-01-04T00:00:00"/>
    <x v="5"/>
    <n v="15"/>
    <s v="Cuevas"/>
    <x v="1"/>
    <x v="97"/>
    <x v="12"/>
    <x v="7"/>
    <x v="1"/>
    <x v="6"/>
    <x v="2"/>
    <m/>
  </r>
  <r>
    <x v="5"/>
    <d v="2026-01-04T00:00:00"/>
    <x v="5"/>
    <n v="15"/>
    <s v="Cuevas"/>
    <x v="1"/>
    <x v="97"/>
    <x v="1"/>
    <x v="21"/>
    <x v="1"/>
    <x v="1"/>
    <x v="3"/>
    <m/>
  </r>
  <r>
    <x v="5"/>
    <d v="2026-01-04T00:00:00"/>
    <x v="5"/>
    <n v="15"/>
    <s v="Cuevas"/>
    <x v="1"/>
    <x v="97"/>
    <x v="1"/>
    <x v="1"/>
    <x v="3"/>
    <x v="6"/>
    <x v="2"/>
    <m/>
  </r>
  <r>
    <x v="5"/>
    <d v="2026-01-04T00:00:00"/>
    <x v="5"/>
    <n v="15"/>
    <s v="Cuevas"/>
    <x v="1"/>
    <x v="97"/>
    <x v="1"/>
    <x v="1"/>
    <x v="3"/>
    <x v="6"/>
    <x v="2"/>
    <m/>
  </r>
  <r>
    <x v="5"/>
    <d v="2026-01-04T00:00:00"/>
    <x v="5"/>
    <n v="15"/>
    <s v="Cuevas"/>
    <x v="1"/>
    <x v="97"/>
    <x v="11"/>
    <x v="16"/>
    <x v="3"/>
    <x v="6"/>
    <x v="2"/>
    <m/>
  </r>
  <r>
    <x v="5"/>
    <d v="2026-01-04T00:00:00"/>
    <x v="5"/>
    <n v="15"/>
    <s v="Cuevas"/>
    <x v="1"/>
    <x v="97"/>
    <x v="11"/>
    <x v="17"/>
    <x v="3"/>
    <x v="6"/>
    <x v="2"/>
    <m/>
  </r>
  <r>
    <x v="5"/>
    <d v="2026-01-04T00:00:00"/>
    <x v="5"/>
    <n v="15"/>
    <s v="Cuevas"/>
    <x v="1"/>
    <x v="97"/>
    <x v="12"/>
    <x v="7"/>
    <x v="5"/>
    <x v="6"/>
    <x v="2"/>
    <m/>
  </r>
  <r>
    <x v="5"/>
    <d v="2026-01-04T00:00:00"/>
    <x v="5"/>
    <n v="15"/>
    <s v="Cuevas"/>
    <x v="1"/>
    <x v="97"/>
    <x v="11"/>
    <x v="18"/>
    <x v="1"/>
    <x v="6"/>
    <x v="2"/>
    <m/>
  </r>
  <r>
    <x v="5"/>
    <d v="2026-01-04T00:00:00"/>
    <x v="5"/>
    <n v="15"/>
    <s v="Cuevas"/>
    <x v="1"/>
    <x v="97"/>
    <x v="12"/>
    <x v="3"/>
    <x v="3"/>
    <x v="7"/>
    <x v="3"/>
    <m/>
  </r>
  <r>
    <x v="5"/>
    <d v="2026-01-04T00:00:00"/>
    <x v="5"/>
    <n v="15"/>
    <s v="Cuevas"/>
    <x v="1"/>
    <x v="97"/>
    <x v="8"/>
    <x v="19"/>
    <x v="1"/>
    <x v="2"/>
    <x v="3"/>
    <m/>
  </r>
  <r>
    <x v="5"/>
    <d v="2026-01-04T00:00:00"/>
    <x v="5"/>
    <n v="15"/>
    <s v="Cuevas"/>
    <x v="1"/>
    <x v="97"/>
    <x v="0"/>
    <x v="16"/>
    <x v="3"/>
    <x v="0"/>
    <x v="0"/>
    <m/>
  </r>
  <r>
    <x v="5"/>
    <d v="2026-01-04T00:00:00"/>
    <x v="5"/>
    <n v="15"/>
    <s v="Cuevas"/>
    <x v="1"/>
    <x v="97"/>
    <x v="8"/>
    <x v="22"/>
    <x v="0"/>
    <x v="6"/>
    <x v="2"/>
    <m/>
  </r>
  <r>
    <x v="5"/>
    <d v="2026-01-04T00:00:00"/>
    <x v="5"/>
    <n v="15"/>
    <s v="Cuevas"/>
    <x v="1"/>
    <x v="97"/>
    <x v="12"/>
    <x v="9"/>
    <x v="1"/>
    <x v="6"/>
    <x v="2"/>
    <m/>
  </r>
  <r>
    <x v="5"/>
    <d v="2026-01-04T00:00:00"/>
    <x v="5"/>
    <n v="15"/>
    <s v="Cuevas"/>
    <x v="1"/>
    <x v="97"/>
    <x v="1"/>
    <x v="17"/>
    <x v="2"/>
    <x v="1"/>
    <x v="0"/>
    <m/>
  </r>
  <r>
    <x v="5"/>
    <d v="2026-01-04T00:00:00"/>
    <x v="5"/>
    <n v="15"/>
    <s v="Cuevas"/>
    <x v="1"/>
    <x v="97"/>
    <x v="0"/>
    <x v="1"/>
    <x v="1"/>
    <x v="0"/>
    <x v="0"/>
    <m/>
  </r>
  <r>
    <x v="5"/>
    <d v="2026-01-04T00:00:00"/>
    <x v="5"/>
    <n v="15"/>
    <s v="Cuevas"/>
    <x v="1"/>
    <x v="97"/>
    <x v="9"/>
    <x v="7"/>
    <x v="0"/>
    <x v="6"/>
    <x v="2"/>
    <m/>
  </r>
  <r>
    <x v="5"/>
    <d v="2026-01-04T00:00:00"/>
    <x v="5"/>
    <n v="15"/>
    <s v="Cuevas"/>
    <x v="1"/>
    <x v="97"/>
    <x v="8"/>
    <x v="9"/>
    <x v="0"/>
    <x v="6"/>
    <x v="2"/>
    <s v="eror de marca en corner a la frontal"/>
  </r>
  <r>
    <x v="5"/>
    <d v="2026-01-04T00:00:00"/>
    <x v="5"/>
    <n v="15"/>
    <s v="Cuevas"/>
    <x v="1"/>
    <x v="97"/>
    <x v="20"/>
    <x v="9"/>
    <x v="1"/>
    <x v="6"/>
    <x v="2"/>
    <m/>
  </r>
  <r>
    <x v="5"/>
    <d v="2026-01-04T00:00:00"/>
    <x v="5"/>
    <n v="15"/>
    <s v="Cuevas"/>
    <x v="1"/>
    <x v="97"/>
    <x v="8"/>
    <x v="17"/>
    <x v="3"/>
    <x v="5"/>
    <x v="2"/>
    <m/>
  </r>
  <r>
    <x v="5"/>
    <d v="2026-01-04T00:00:00"/>
    <x v="5"/>
    <n v="15"/>
    <s v="Cuevas"/>
    <x v="1"/>
    <x v="97"/>
    <x v="8"/>
    <x v="12"/>
    <x v="1"/>
    <x v="2"/>
    <x v="1"/>
    <m/>
  </r>
  <r>
    <x v="5"/>
    <d v="2026-01-04T00:00:00"/>
    <x v="5"/>
    <n v="15"/>
    <s v="Cuevas"/>
    <x v="1"/>
    <x v="97"/>
    <x v="20"/>
    <x v="14"/>
    <x v="4"/>
    <x v="2"/>
    <x v="1"/>
    <m/>
  </r>
  <r>
    <x v="5"/>
    <d v="2026-01-04T00:00:00"/>
    <x v="5"/>
    <n v="15"/>
    <s v="Cuevas"/>
    <x v="1"/>
    <x v="97"/>
    <x v="12"/>
    <x v="21"/>
    <x v="1"/>
    <x v="3"/>
    <x v="2"/>
    <s v="corner"/>
  </r>
  <r>
    <x v="5"/>
    <d v="2026-01-04T00:00:00"/>
    <x v="5"/>
    <n v="15"/>
    <s v="Cuevas"/>
    <x v="1"/>
    <x v="97"/>
    <x v="1"/>
    <x v="1"/>
    <x v="1"/>
    <x v="1"/>
    <x v="0"/>
    <m/>
  </r>
  <r>
    <x v="5"/>
    <d v="2026-01-04T00:00:00"/>
    <x v="5"/>
    <n v="15"/>
    <s v="Cuevas"/>
    <x v="1"/>
    <x v="97"/>
    <x v="1"/>
    <x v="9"/>
    <x v="5"/>
    <x v="1"/>
    <x v="0"/>
    <m/>
  </r>
  <r>
    <x v="5"/>
    <d v="2026-01-04T00:00:00"/>
    <x v="5"/>
    <n v="15"/>
    <s v="Cuevas"/>
    <x v="1"/>
    <x v="97"/>
    <x v="0"/>
    <x v="16"/>
    <x v="3"/>
    <x v="0"/>
    <x v="0"/>
    <m/>
  </r>
  <r>
    <x v="5"/>
    <d v="2026-01-04T00:00:00"/>
    <x v="5"/>
    <n v="15"/>
    <s v="Cuevas"/>
    <x v="1"/>
    <x v="97"/>
    <x v="9"/>
    <x v="16"/>
    <x v="3"/>
    <x v="0"/>
    <x v="0"/>
    <m/>
  </r>
  <r>
    <x v="5"/>
    <d v="2026-01-04T00:00:00"/>
    <x v="5"/>
    <n v="15"/>
    <s v="Cuevas"/>
    <x v="1"/>
    <x v="97"/>
    <x v="5"/>
    <x v="7"/>
    <x v="1"/>
    <x v="0"/>
    <x v="0"/>
    <m/>
  </r>
  <r>
    <x v="5"/>
    <d v="2026-01-04T00:00:00"/>
    <x v="5"/>
    <n v="15"/>
    <s v="Cuevas"/>
    <x v="1"/>
    <x v="97"/>
    <x v="19"/>
    <x v="21"/>
    <x v="1"/>
    <x v="10"/>
    <x v="2"/>
    <m/>
  </r>
  <r>
    <x v="5"/>
    <d v="2026-01-04T00:00:00"/>
    <x v="5"/>
    <n v="15"/>
    <s v="Cuevas"/>
    <x v="1"/>
    <x v="97"/>
    <x v="5"/>
    <x v="1"/>
    <x v="1"/>
    <x v="4"/>
    <x v="0"/>
    <m/>
  </r>
  <r>
    <x v="5"/>
    <d v="2026-01-04T00:00:00"/>
    <x v="5"/>
    <n v="15"/>
    <s v="Cuevas"/>
    <x v="1"/>
    <x v="100"/>
    <x v="8"/>
    <x v="1"/>
    <x v="3"/>
    <x v="5"/>
    <x v="2"/>
    <m/>
  </r>
  <r>
    <x v="5"/>
    <d v="2026-01-04T00:00:00"/>
    <x v="5"/>
    <n v="15"/>
    <s v="Cuevas"/>
    <x v="1"/>
    <x v="100"/>
    <x v="1"/>
    <x v="16"/>
    <x v="3"/>
    <x v="0"/>
    <x v="0"/>
    <m/>
  </r>
  <r>
    <x v="5"/>
    <d v="2026-01-04T00:00:00"/>
    <x v="5"/>
    <n v="15"/>
    <s v="Cuevas"/>
    <x v="1"/>
    <x v="100"/>
    <x v="12"/>
    <x v="22"/>
    <x v="0"/>
    <x v="6"/>
    <x v="2"/>
    <m/>
  </r>
  <r>
    <x v="5"/>
    <d v="2026-01-04T00:00:00"/>
    <x v="5"/>
    <n v="15"/>
    <s v="Cuevas"/>
    <x v="1"/>
    <x v="100"/>
    <x v="0"/>
    <x v="1"/>
    <x v="3"/>
    <x v="6"/>
    <x v="2"/>
    <m/>
  </r>
  <r>
    <x v="5"/>
    <d v="2026-01-04T00:00:00"/>
    <x v="5"/>
    <n v="15"/>
    <s v="Cuevas"/>
    <x v="1"/>
    <x v="100"/>
    <x v="11"/>
    <x v="18"/>
    <x v="1"/>
    <x v="5"/>
    <x v="2"/>
    <m/>
  </r>
  <r>
    <x v="5"/>
    <d v="2026-01-04T00:00:00"/>
    <x v="5"/>
    <n v="15"/>
    <s v="Cuevas"/>
    <x v="1"/>
    <x v="100"/>
    <x v="8"/>
    <x v="17"/>
    <x v="3"/>
    <x v="7"/>
    <x v="1"/>
    <m/>
  </r>
  <r>
    <x v="5"/>
    <d v="2026-01-04T00:00:00"/>
    <x v="5"/>
    <n v="15"/>
    <s v="Cuevas"/>
    <x v="1"/>
    <x v="100"/>
    <x v="8"/>
    <x v="11"/>
    <x v="1"/>
    <x v="7"/>
    <x v="1"/>
    <m/>
  </r>
  <r>
    <x v="5"/>
    <d v="2026-01-04T00:00:00"/>
    <x v="5"/>
    <n v="15"/>
    <s v="Cuevas"/>
    <x v="1"/>
    <x v="100"/>
    <x v="12"/>
    <x v="21"/>
    <x v="1"/>
    <x v="3"/>
    <x v="2"/>
    <m/>
  </r>
  <r>
    <x v="5"/>
    <d v="2026-01-04T00:00:00"/>
    <x v="5"/>
    <n v="15"/>
    <s v="Cuevas"/>
    <x v="1"/>
    <x v="100"/>
    <x v="8"/>
    <x v="1"/>
    <x v="0"/>
    <x v="5"/>
    <x v="2"/>
    <m/>
  </r>
  <r>
    <x v="5"/>
    <d v="2026-01-04T00:00:00"/>
    <x v="5"/>
    <n v="15"/>
    <s v="Cuevas"/>
    <x v="1"/>
    <x v="100"/>
    <x v="5"/>
    <x v="1"/>
    <x v="0"/>
    <x v="5"/>
    <x v="2"/>
    <m/>
  </r>
  <r>
    <x v="5"/>
    <d v="2026-01-04T00:00:00"/>
    <x v="5"/>
    <n v="15"/>
    <s v="Cuevas"/>
    <x v="1"/>
    <x v="100"/>
    <x v="11"/>
    <x v="17"/>
    <x v="3"/>
    <x v="6"/>
    <x v="2"/>
    <m/>
  </r>
  <r>
    <x v="5"/>
    <d v="2026-01-04T00:00:00"/>
    <x v="5"/>
    <n v="15"/>
    <s v="Cuevas"/>
    <x v="1"/>
    <x v="100"/>
    <x v="3"/>
    <x v="7"/>
    <x v="0"/>
    <x v="5"/>
    <x v="2"/>
    <m/>
  </r>
  <r>
    <x v="5"/>
    <d v="2026-01-04T00:00:00"/>
    <x v="5"/>
    <n v="15"/>
    <s v="Cuevas"/>
    <x v="1"/>
    <x v="100"/>
    <x v="1"/>
    <x v="1"/>
    <x v="0"/>
    <x v="9"/>
    <x v="0"/>
    <m/>
  </r>
  <r>
    <x v="5"/>
    <d v="2026-01-04T00:00:00"/>
    <x v="5"/>
    <n v="15"/>
    <s v="Cuevas"/>
    <x v="1"/>
    <x v="100"/>
    <x v="0"/>
    <x v="1"/>
    <x v="0"/>
    <x v="9"/>
    <x v="0"/>
    <m/>
  </r>
  <r>
    <x v="5"/>
    <d v="2026-01-04T00:00:00"/>
    <x v="5"/>
    <n v="15"/>
    <s v="Cuevas"/>
    <x v="1"/>
    <x v="100"/>
    <x v="5"/>
    <x v="5"/>
    <x v="0"/>
    <x v="6"/>
    <x v="2"/>
    <m/>
  </r>
  <r>
    <x v="5"/>
    <d v="2026-01-04T00:00:00"/>
    <x v="5"/>
    <n v="15"/>
    <s v="Cuevas"/>
    <x v="1"/>
    <x v="100"/>
    <x v="8"/>
    <x v="16"/>
    <x v="3"/>
    <x v="7"/>
    <x v="1"/>
    <m/>
  </r>
  <r>
    <x v="5"/>
    <d v="2026-01-04T00:00:00"/>
    <x v="5"/>
    <n v="15"/>
    <s v="Cuevas"/>
    <x v="1"/>
    <x v="100"/>
    <x v="11"/>
    <x v="22"/>
    <x v="0"/>
    <x v="5"/>
    <x v="2"/>
    <m/>
  </r>
  <r>
    <x v="5"/>
    <d v="2026-01-04T00:00:00"/>
    <x v="5"/>
    <n v="15"/>
    <s v="Cuevas"/>
    <x v="1"/>
    <x v="100"/>
    <x v="8"/>
    <x v="17"/>
    <x v="3"/>
    <x v="7"/>
    <x v="1"/>
    <m/>
  </r>
  <r>
    <x v="5"/>
    <d v="2026-01-04T00:00:00"/>
    <x v="5"/>
    <n v="15"/>
    <s v="Cuevas"/>
    <x v="1"/>
    <x v="100"/>
    <x v="8"/>
    <x v="11"/>
    <x v="5"/>
    <x v="10"/>
    <x v="2"/>
    <m/>
  </r>
  <r>
    <x v="5"/>
    <d v="2026-01-04T00:00:00"/>
    <x v="5"/>
    <n v="15"/>
    <s v="Cuevas"/>
    <x v="1"/>
    <x v="100"/>
    <x v="3"/>
    <x v="14"/>
    <x v="4"/>
    <x v="7"/>
    <x v="1"/>
    <m/>
  </r>
  <r>
    <x v="5"/>
    <d v="2026-01-04T00:00:00"/>
    <x v="5"/>
    <n v="15"/>
    <s v="Cuevas"/>
    <x v="1"/>
    <x v="100"/>
    <x v="0"/>
    <x v="1"/>
    <x v="1"/>
    <x v="0"/>
    <x v="0"/>
    <m/>
  </r>
  <r>
    <x v="5"/>
    <d v="2026-01-04T00:00:00"/>
    <x v="5"/>
    <n v="15"/>
    <s v="Cuevas"/>
    <x v="1"/>
    <x v="100"/>
    <x v="9"/>
    <x v="1"/>
    <x v="1"/>
    <x v="0"/>
    <x v="0"/>
    <m/>
  </r>
  <r>
    <x v="5"/>
    <d v="2026-01-04T00:00:00"/>
    <x v="5"/>
    <n v="15"/>
    <s v="Cuevas"/>
    <x v="1"/>
    <x v="100"/>
    <x v="20"/>
    <x v="16"/>
    <x v="3"/>
    <x v="7"/>
    <x v="1"/>
    <m/>
  </r>
  <r>
    <x v="5"/>
    <d v="2026-01-04T00:00:00"/>
    <x v="5"/>
    <n v="15"/>
    <s v="Cuevas"/>
    <x v="1"/>
    <x v="100"/>
    <x v="8"/>
    <x v="22"/>
    <x v="3"/>
    <x v="7"/>
    <x v="1"/>
    <m/>
  </r>
  <r>
    <x v="5"/>
    <d v="2026-01-04T00:00:00"/>
    <x v="5"/>
    <n v="15"/>
    <s v="Cuevas"/>
    <x v="1"/>
    <x v="100"/>
    <x v="5"/>
    <x v="1"/>
    <x v="3"/>
    <x v="6"/>
    <x v="2"/>
    <m/>
  </r>
  <r>
    <x v="5"/>
    <d v="2026-01-04T00:00:00"/>
    <x v="5"/>
    <n v="15"/>
    <s v="Cuevas"/>
    <x v="1"/>
    <x v="100"/>
    <x v="8"/>
    <x v="16"/>
    <x v="3"/>
    <x v="6"/>
    <x v="2"/>
    <m/>
  </r>
  <r>
    <x v="5"/>
    <d v="2026-01-04T00:00:00"/>
    <x v="5"/>
    <n v="15"/>
    <s v="Cuevas"/>
    <x v="1"/>
    <x v="100"/>
    <x v="5"/>
    <x v="22"/>
    <x v="3"/>
    <x v="6"/>
    <x v="2"/>
    <m/>
  </r>
  <r>
    <x v="5"/>
    <d v="2026-01-04T00:00:00"/>
    <x v="5"/>
    <n v="15"/>
    <s v="Cuevas"/>
    <x v="1"/>
    <x v="100"/>
    <x v="5"/>
    <x v="18"/>
    <x v="3"/>
    <x v="6"/>
    <x v="2"/>
    <m/>
  </r>
  <r>
    <x v="5"/>
    <d v="2026-01-04T00:00:00"/>
    <x v="5"/>
    <n v="15"/>
    <s v="Cuevas"/>
    <x v="1"/>
    <x v="103"/>
    <x v="1"/>
    <x v="16"/>
    <x v="3"/>
    <x v="6"/>
    <x v="2"/>
    <m/>
  </r>
  <r>
    <x v="5"/>
    <d v="2026-01-04T00:00:00"/>
    <x v="5"/>
    <n v="15"/>
    <s v="Cuevas"/>
    <x v="1"/>
    <x v="103"/>
    <x v="12"/>
    <x v="22"/>
    <x v="3"/>
    <x v="6"/>
    <x v="2"/>
    <m/>
  </r>
  <r>
    <x v="5"/>
    <d v="2026-01-04T00:00:00"/>
    <x v="5"/>
    <n v="15"/>
    <s v="Cuevas"/>
    <x v="1"/>
    <x v="103"/>
    <x v="20"/>
    <x v="17"/>
    <x v="3"/>
    <x v="9"/>
    <x v="1"/>
    <m/>
  </r>
  <r>
    <x v="5"/>
    <d v="2026-01-04T00:00:00"/>
    <x v="5"/>
    <n v="15"/>
    <s v="Cuevas"/>
    <x v="1"/>
    <x v="103"/>
    <x v="8"/>
    <x v="22"/>
    <x v="1"/>
    <x v="9"/>
    <x v="2"/>
    <m/>
  </r>
  <r>
    <x v="5"/>
    <d v="2026-01-04T00:00:00"/>
    <x v="5"/>
    <n v="15"/>
    <s v="Cuevas"/>
    <x v="1"/>
    <x v="103"/>
    <x v="12"/>
    <x v="16"/>
    <x v="2"/>
    <x v="6"/>
    <x v="2"/>
    <m/>
  </r>
  <r>
    <x v="5"/>
    <d v="2026-01-04T00:00:00"/>
    <x v="5"/>
    <n v="15"/>
    <s v="Cuevas"/>
    <x v="1"/>
    <x v="103"/>
    <x v="11"/>
    <x v="22"/>
    <x v="2"/>
    <x v="6"/>
    <x v="2"/>
    <m/>
  </r>
  <r>
    <x v="5"/>
    <d v="2026-01-04T00:00:00"/>
    <x v="5"/>
    <n v="15"/>
    <s v="Cuevas"/>
    <x v="1"/>
    <x v="103"/>
    <x v="1"/>
    <x v="1"/>
    <x v="3"/>
    <x v="6"/>
    <x v="2"/>
    <m/>
  </r>
  <r>
    <x v="5"/>
    <d v="2026-01-04T00:00:00"/>
    <x v="5"/>
    <n v="15"/>
    <s v="Cuevas"/>
    <x v="1"/>
    <x v="103"/>
    <x v="11"/>
    <x v="1"/>
    <x v="1"/>
    <x v="6"/>
    <x v="2"/>
    <m/>
  </r>
  <r>
    <x v="5"/>
    <d v="2026-01-04T00:00:00"/>
    <x v="5"/>
    <n v="15"/>
    <s v="Cuevas"/>
    <x v="1"/>
    <x v="103"/>
    <x v="12"/>
    <x v="18"/>
    <x v="1"/>
    <x v="6"/>
    <x v="2"/>
    <m/>
  </r>
  <r>
    <x v="5"/>
    <d v="2026-01-04T00:00:00"/>
    <x v="5"/>
    <n v="15"/>
    <s v="Cuevas"/>
    <x v="1"/>
    <x v="103"/>
    <x v="20"/>
    <x v="17"/>
    <x v="2"/>
    <x v="9"/>
    <x v="1"/>
    <m/>
  </r>
  <r>
    <x v="5"/>
    <d v="2026-01-04T00:00:00"/>
    <x v="5"/>
    <n v="15"/>
    <s v="Cuevas"/>
    <x v="1"/>
    <x v="103"/>
    <x v="3"/>
    <x v="22"/>
    <x v="1"/>
    <x v="9"/>
    <x v="1"/>
    <m/>
  </r>
  <r>
    <x v="5"/>
    <d v="2026-01-04T00:00:00"/>
    <x v="5"/>
    <n v="15"/>
    <s v="Cuevas"/>
    <x v="1"/>
    <x v="103"/>
    <x v="3"/>
    <x v="8"/>
    <x v="1"/>
    <x v="9"/>
    <x v="1"/>
    <m/>
  </r>
  <r>
    <x v="5"/>
    <d v="2026-01-04T00:00:00"/>
    <x v="5"/>
    <n v="15"/>
    <s v="Cuevas"/>
    <x v="1"/>
    <x v="103"/>
    <x v="9"/>
    <x v="16"/>
    <x v="3"/>
    <x v="4"/>
    <x v="0"/>
    <m/>
  </r>
  <r>
    <x v="5"/>
    <d v="2026-01-04T00:00:00"/>
    <x v="5"/>
    <n v="15"/>
    <s v="Cuevas"/>
    <x v="1"/>
    <x v="103"/>
    <x v="20"/>
    <x v="22"/>
    <x v="1"/>
    <x v="10"/>
    <x v="2"/>
    <m/>
  </r>
  <r>
    <x v="5"/>
    <d v="2026-01-04T00:00:00"/>
    <x v="5"/>
    <n v="15"/>
    <s v="Cuevas"/>
    <x v="1"/>
    <x v="103"/>
    <x v="12"/>
    <x v="7"/>
    <x v="1"/>
    <x v="6"/>
    <x v="2"/>
    <m/>
  </r>
  <r>
    <x v="5"/>
    <d v="2026-01-04T00:00:00"/>
    <x v="5"/>
    <n v="15"/>
    <s v="Cuevas"/>
    <x v="1"/>
    <x v="103"/>
    <x v="1"/>
    <x v="7"/>
    <x v="1"/>
    <x v="6"/>
    <x v="2"/>
    <m/>
  </r>
  <r>
    <x v="5"/>
    <d v="2026-01-04T00:00:00"/>
    <x v="5"/>
    <n v="15"/>
    <s v="Cuevas"/>
    <x v="1"/>
    <x v="103"/>
    <x v="1"/>
    <x v="1"/>
    <x v="3"/>
    <x v="6"/>
    <x v="2"/>
    <m/>
  </r>
  <r>
    <x v="5"/>
    <d v="2026-01-04T00:00:00"/>
    <x v="5"/>
    <n v="15"/>
    <s v="Cuevas"/>
    <x v="1"/>
    <x v="103"/>
    <x v="11"/>
    <x v="16"/>
    <x v="3"/>
    <x v="7"/>
    <x v="1"/>
    <m/>
  </r>
  <r>
    <x v="5"/>
    <d v="2026-01-04T00:00:00"/>
    <x v="5"/>
    <n v="15"/>
    <s v="Cuevas"/>
    <x v="1"/>
    <x v="103"/>
    <x v="20"/>
    <x v="16"/>
    <x v="3"/>
    <x v="7"/>
    <x v="1"/>
    <m/>
  </r>
  <r>
    <x v="5"/>
    <d v="2026-01-04T00:00:00"/>
    <x v="5"/>
    <n v="15"/>
    <s v="Cuevas"/>
    <x v="1"/>
    <x v="103"/>
    <x v="11"/>
    <x v="7"/>
    <x v="3"/>
    <x v="7"/>
    <x v="1"/>
    <m/>
  </r>
  <r>
    <x v="5"/>
    <d v="2026-01-04T00:00:00"/>
    <x v="5"/>
    <n v="15"/>
    <s v="Cuevas"/>
    <x v="1"/>
    <x v="103"/>
    <x v="8"/>
    <x v="22"/>
    <x v="3"/>
    <x v="7"/>
    <x v="1"/>
    <m/>
  </r>
  <r>
    <x v="5"/>
    <d v="2026-01-04T00:00:00"/>
    <x v="5"/>
    <n v="15"/>
    <s v="Cuevas"/>
    <x v="1"/>
    <x v="103"/>
    <x v="5"/>
    <x v="8"/>
    <x v="1"/>
    <x v="4"/>
    <x v="0"/>
    <m/>
  </r>
  <r>
    <x v="5"/>
    <d v="2026-01-04T00:00:00"/>
    <x v="5"/>
    <n v="15"/>
    <s v="Cuevas"/>
    <x v="1"/>
    <x v="103"/>
    <x v="19"/>
    <x v="16"/>
    <x v="3"/>
    <x v="4"/>
    <x v="0"/>
    <m/>
  </r>
  <r>
    <x v="5"/>
    <d v="2026-01-04T00:00:00"/>
    <x v="5"/>
    <n v="15"/>
    <s v="Cuevas"/>
    <x v="1"/>
    <x v="103"/>
    <x v="8"/>
    <x v="16"/>
    <x v="3"/>
    <x v="0"/>
    <x v="0"/>
    <m/>
  </r>
  <r>
    <x v="5"/>
    <d v="2026-01-04T00:00:00"/>
    <x v="5"/>
    <n v="15"/>
    <s v="Cuevas"/>
    <x v="1"/>
    <x v="103"/>
    <x v="1"/>
    <x v="2"/>
    <x v="1"/>
    <x v="1"/>
    <x v="0"/>
    <m/>
  </r>
  <r>
    <x v="5"/>
    <d v="2026-01-04T00:00:00"/>
    <x v="5"/>
    <n v="15"/>
    <s v="Cuevas"/>
    <x v="1"/>
    <x v="103"/>
    <x v="19"/>
    <x v="21"/>
    <x v="1"/>
    <x v="10"/>
    <x v="2"/>
    <m/>
  </r>
  <r>
    <x v="5"/>
    <d v="2026-01-04T00:00:00"/>
    <x v="5"/>
    <n v="15"/>
    <s v="Cuevas"/>
    <x v="1"/>
    <x v="103"/>
    <x v="3"/>
    <x v="14"/>
    <x v="4"/>
    <x v="2"/>
    <x v="1"/>
    <m/>
  </r>
  <r>
    <x v="5"/>
    <d v="2026-01-04T00:00:00"/>
    <x v="5"/>
    <n v="15"/>
    <s v="Cuevas"/>
    <x v="1"/>
    <x v="103"/>
    <x v="20"/>
    <x v="14"/>
    <x v="4"/>
    <x v="2"/>
    <x v="1"/>
    <m/>
  </r>
  <r>
    <x v="5"/>
    <d v="2026-01-04T00:00:00"/>
    <x v="5"/>
    <n v="15"/>
    <s v="Cuevas"/>
    <x v="1"/>
    <x v="103"/>
    <x v="5"/>
    <x v="1"/>
    <x v="1"/>
    <x v="4"/>
    <x v="0"/>
    <m/>
  </r>
  <r>
    <x v="5"/>
    <d v="2026-01-04T00:00:00"/>
    <x v="5"/>
    <n v="15"/>
    <s v="Cuevas"/>
    <x v="1"/>
    <x v="103"/>
    <x v="8"/>
    <x v="18"/>
    <x v="1"/>
    <x v="6"/>
    <x v="2"/>
    <m/>
  </r>
  <r>
    <x v="5"/>
    <d v="2026-01-04T00:00:00"/>
    <x v="5"/>
    <n v="15"/>
    <s v="Cuevas"/>
    <x v="1"/>
    <x v="103"/>
    <x v="8"/>
    <x v="7"/>
    <x v="0"/>
    <x v="7"/>
    <x v="1"/>
    <m/>
  </r>
  <r>
    <x v="5"/>
    <d v="2026-01-04T00:00:00"/>
    <x v="5"/>
    <n v="15"/>
    <s v="Cuevas"/>
    <x v="1"/>
    <x v="103"/>
    <x v="12"/>
    <x v="2"/>
    <x v="0"/>
    <x v="7"/>
    <x v="1"/>
    <m/>
  </r>
  <r>
    <x v="5"/>
    <d v="2026-01-04T00:00:00"/>
    <x v="5"/>
    <n v="15"/>
    <s v="Cuevas"/>
    <x v="1"/>
    <x v="103"/>
    <x v="0"/>
    <x v="7"/>
    <x v="1"/>
    <x v="6"/>
    <x v="2"/>
    <m/>
  </r>
  <r>
    <x v="5"/>
    <d v="2026-01-04T00:00:00"/>
    <x v="5"/>
    <n v="15"/>
    <s v="Cuevas"/>
    <x v="1"/>
    <x v="103"/>
    <x v="0"/>
    <x v="1"/>
    <x v="3"/>
    <x v="6"/>
    <x v="2"/>
    <m/>
  </r>
  <r>
    <x v="5"/>
    <d v="2026-01-04T00:00:00"/>
    <x v="5"/>
    <n v="15"/>
    <s v="Cuevas"/>
    <x v="1"/>
    <x v="103"/>
    <x v="12"/>
    <x v="7"/>
    <x v="1"/>
    <x v="6"/>
    <x v="2"/>
    <m/>
  </r>
  <r>
    <x v="5"/>
    <d v="2026-01-04T00:00:00"/>
    <x v="5"/>
    <n v="15"/>
    <s v="Cuevas"/>
    <x v="1"/>
    <x v="103"/>
    <x v="1"/>
    <x v="7"/>
    <x v="1"/>
    <x v="6"/>
    <x v="2"/>
    <m/>
  </r>
  <r>
    <x v="5"/>
    <d v="2026-01-04T00:00:00"/>
    <x v="5"/>
    <n v="15"/>
    <s v="Cuevas"/>
    <x v="1"/>
    <x v="103"/>
    <x v="0"/>
    <x v="7"/>
    <x v="1"/>
    <x v="6"/>
    <x v="2"/>
    <m/>
  </r>
  <r>
    <x v="5"/>
    <d v="2026-01-04T00:00:00"/>
    <x v="5"/>
    <n v="15"/>
    <s v="Cuevas"/>
    <x v="1"/>
    <x v="103"/>
    <x v="9"/>
    <x v="7"/>
    <x v="1"/>
    <x v="6"/>
    <x v="2"/>
    <m/>
  </r>
  <r>
    <x v="5"/>
    <d v="2026-01-04T00:00:00"/>
    <x v="5"/>
    <n v="15"/>
    <s v="Cuevas"/>
    <x v="1"/>
    <x v="103"/>
    <x v="19"/>
    <x v="14"/>
    <x v="4"/>
    <x v="2"/>
    <x v="1"/>
    <m/>
  </r>
  <r>
    <x v="5"/>
    <d v="2026-01-04T00:00:00"/>
    <x v="5"/>
    <n v="15"/>
    <s v="Cuevas"/>
    <x v="1"/>
    <x v="103"/>
    <x v="19"/>
    <x v="22"/>
    <x v="3"/>
    <x v="2"/>
    <x v="1"/>
    <m/>
  </r>
  <r>
    <x v="5"/>
    <d v="2026-01-04T00:00:00"/>
    <x v="5"/>
    <n v="15"/>
    <s v="Cuevas"/>
    <x v="1"/>
    <x v="103"/>
    <x v="12"/>
    <x v="21"/>
    <x v="1"/>
    <x v="10"/>
    <x v="2"/>
    <m/>
  </r>
  <r>
    <x v="5"/>
    <d v="2026-01-04T00:00:00"/>
    <x v="5"/>
    <n v="15"/>
    <s v="Cuevas"/>
    <x v="1"/>
    <x v="103"/>
    <x v="12"/>
    <x v="19"/>
    <x v="1"/>
    <x v="10"/>
    <x v="2"/>
    <m/>
  </r>
  <r>
    <x v="5"/>
    <d v="2026-01-04T00:00:00"/>
    <x v="5"/>
    <n v="15"/>
    <s v="Cuevas"/>
    <x v="1"/>
    <x v="103"/>
    <x v="12"/>
    <x v="6"/>
    <x v="3"/>
    <x v="7"/>
    <x v="1"/>
    <m/>
  </r>
  <r>
    <x v="5"/>
    <d v="2026-01-04T00:00:00"/>
    <x v="5"/>
    <n v="15"/>
    <s v="Cuevas"/>
    <x v="1"/>
    <x v="103"/>
    <x v="12"/>
    <x v="14"/>
    <x v="1"/>
    <x v="9"/>
    <x v="1"/>
    <m/>
  </r>
  <r>
    <x v="5"/>
    <d v="2026-01-04T00:00:00"/>
    <x v="5"/>
    <n v="15"/>
    <s v="Cuevas"/>
    <x v="1"/>
    <x v="98"/>
    <x v="8"/>
    <x v="5"/>
    <x v="0"/>
    <x v="5"/>
    <x v="2"/>
    <m/>
  </r>
  <r>
    <x v="5"/>
    <d v="2026-01-04T00:00:00"/>
    <x v="5"/>
    <n v="15"/>
    <s v="Cuevas"/>
    <x v="1"/>
    <x v="98"/>
    <x v="11"/>
    <x v="1"/>
    <x v="3"/>
    <x v="6"/>
    <x v="2"/>
    <m/>
  </r>
  <r>
    <x v="5"/>
    <d v="2026-01-04T00:00:00"/>
    <x v="5"/>
    <n v="15"/>
    <s v="Cuevas"/>
    <x v="1"/>
    <x v="98"/>
    <x v="11"/>
    <x v="18"/>
    <x v="1"/>
    <x v="6"/>
    <x v="2"/>
    <m/>
  </r>
  <r>
    <x v="5"/>
    <d v="2026-01-04T00:00:00"/>
    <x v="5"/>
    <n v="15"/>
    <s v="Cuevas"/>
    <x v="1"/>
    <x v="98"/>
    <x v="12"/>
    <x v="16"/>
    <x v="3"/>
    <x v="6"/>
    <x v="2"/>
    <m/>
  </r>
  <r>
    <x v="5"/>
    <d v="2026-01-04T00:00:00"/>
    <x v="5"/>
    <n v="15"/>
    <s v="Cuevas"/>
    <x v="1"/>
    <x v="98"/>
    <x v="0"/>
    <x v="1"/>
    <x v="3"/>
    <x v="6"/>
    <x v="2"/>
    <m/>
  </r>
  <r>
    <x v="5"/>
    <d v="2026-01-04T00:00:00"/>
    <x v="5"/>
    <n v="15"/>
    <s v="Cuevas"/>
    <x v="1"/>
    <x v="98"/>
    <x v="8"/>
    <x v="22"/>
    <x v="0"/>
    <x v="6"/>
    <x v="2"/>
    <m/>
  </r>
  <r>
    <x v="5"/>
    <d v="2026-01-04T00:00:00"/>
    <x v="5"/>
    <n v="15"/>
    <s v="Cuevas"/>
    <x v="1"/>
    <x v="98"/>
    <x v="5"/>
    <x v="1"/>
    <x v="3"/>
    <x v="6"/>
    <x v="2"/>
    <m/>
  </r>
  <r>
    <x v="5"/>
    <d v="2026-01-04T00:00:00"/>
    <x v="5"/>
    <n v="15"/>
    <s v="Cuevas"/>
    <x v="1"/>
    <x v="98"/>
    <x v="9"/>
    <x v="16"/>
    <x v="3"/>
    <x v="6"/>
    <x v="2"/>
    <m/>
  </r>
  <r>
    <x v="5"/>
    <d v="2026-01-04T00:00:00"/>
    <x v="5"/>
    <n v="15"/>
    <s v="Cuevas"/>
    <x v="1"/>
    <x v="98"/>
    <x v="19"/>
    <x v="18"/>
    <x v="1"/>
    <x v="4"/>
    <x v="0"/>
    <m/>
  </r>
  <r>
    <x v="5"/>
    <d v="2026-01-04T00:00:00"/>
    <x v="5"/>
    <n v="15"/>
    <s v="Cuevas"/>
    <x v="1"/>
    <x v="98"/>
    <x v="20"/>
    <x v="8"/>
    <x v="1"/>
    <x v="5"/>
    <x v="2"/>
    <m/>
  </r>
  <r>
    <x v="5"/>
    <d v="2026-01-04T00:00:00"/>
    <x v="5"/>
    <n v="15"/>
    <s v="Cuevas"/>
    <x v="1"/>
    <x v="98"/>
    <x v="19"/>
    <x v="16"/>
    <x v="3"/>
    <x v="4"/>
    <x v="0"/>
    <m/>
  </r>
  <r>
    <x v="5"/>
    <d v="2026-01-04T00:00:00"/>
    <x v="5"/>
    <n v="15"/>
    <s v="Cuevas"/>
    <x v="1"/>
    <x v="98"/>
    <x v="0"/>
    <x v="1"/>
    <x v="3"/>
    <x v="0"/>
    <x v="0"/>
    <m/>
  </r>
  <r>
    <x v="5"/>
    <d v="2026-01-04T00:00:00"/>
    <x v="5"/>
    <n v="15"/>
    <s v="Cuevas"/>
    <x v="1"/>
    <x v="98"/>
    <x v="1"/>
    <x v="16"/>
    <x v="2"/>
    <x v="9"/>
    <x v="0"/>
    <m/>
  </r>
  <r>
    <x v="5"/>
    <d v="2026-01-04T00:00:00"/>
    <x v="5"/>
    <n v="15"/>
    <s v="Cuevas"/>
    <x v="1"/>
    <x v="98"/>
    <x v="12"/>
    <x v="22"/>
    <x v="2"/>
    <x v="6"/>
    <x v="2"/>
    <m/>
  </r>
  <r>
    <x v="5"/>
    <d v="2026-01-04T00:00:00"/>
    <x v="5"/>
    <n v="15"/>
    <s v="Cuevas"/>
    <x v="1"/>
    <x v="98"/>
    <x v="11"/>
    <x v="23"/>
    <x v="1"/>
    <x v="7"/>
    <x v="1"/>
    <m/>
  </r>
  <r>
    <x v="5"/>
    <d v="2026-01-04T00:00:00"/>
    <x v="5"/>
    <n v="15"/>
    <s v="Cuevas"/>
    <x v="1"/>
    <x v="98"/>
    <x v="12"/>
    <x v="21"/>
    <x v="1"/>
    <x v="10"/>
    <x v="2"/>
    <m/>
  </r>
  <r>
    <x v="5"/>
    <d v="2026-01-04T00:00:00"/>
    <x v="5"/>
    <n v="15"/>
    <s v="Cuevas"/>
    <x v="1"/>
    <x v="98"/>
    <x v="11"/>
    <x v="18"/>
    <x v="5"/>
    <x v="5"/>
    <x v="2"/>
    <m/>
  </r>
  <r>
    <x v="5"/>
    <d v="2026-01-04T00:00:00"/>
    <x v="5"/>
    <n v="15"/>
    <s v="Cuevas"/>
    <x v="1"/>
    <x v="98"/>
    <x v="20"/>
    <x v="16"/>
    <x v="2"/>
    <x v="2"/>
    <x v="1"/>
    <m/>
  </r>
  <r>
    <x v="5"/>
    <d v="2026-01-04T00:00:00"/>
    <x v="5"/>
    <n v="15"/>
    <s v="Cuevas"/>
    <x v="1"/>
    <x v="98"/>
    <x v="8"/>
    <x v="22"/>
    <x v="3"/>
    <x v="9"/>
    <x v="2"/>
    <m/>
  </r>
  <r>
    <x v="5"/>
    <d v="2026-01-04T00:00:00"/>
    <x v="5"/>
    <n v="15"/>
    <s v="Cuevas"/>
    <x v="1"/>
    <x v="98"/>
    <x v="8"/>
    <x v="14"/>
    <x v="4"/>
    <x v="9"/>
    <x v="2"/>
    <m/>
  </r>
  <r>
    <x v="5"/>
    <d v="2026-01-04T00:00:00"/>
    <x v="5"/>
    <n v="15"/>
    <s v="Cuevas"/>
    <x v="1"/>
    <x v="98"/>
    <x v="1"/>
    <x v="18"/>
    <x v="1"/>
    <x v="1"/>
    <x v="0"/>
    <m/>
  </r>
  <r>
    <x v="5"/>
    <d v="2026-01-04T00:00:00"/>
    <x v="5"/>
    <n v="15"/>
    <s v="Cuevas"/>
    <x v="1"/>
    <x v="98"/>
    <x v="9"/>
    <x v="1"/>
    <x v="5"/>
    <x v="6"/>
    <x v="2"/>
    <m/>
  </r>
  <r>
    <x v="5"/>
    <d v="2026-01-04T00:00:00"/>
    <x v="5"/>
    <n v="15"/>
    <s v="Cuevas"/>
    <x v="1"/>
    <x v="98"/>
    <x v="8"/>
    <x v="16"/>
    <x v="2"/>
    <x v="7"/>
    <x v="1"/>
    <m/>
  </r>
  <r>
    <x v="5"/>
    <d v="2026-01-04T00:00:00"/>
    <x v="5"/>
    <n v="15"/>
    <s v="Cuevas"/>
    <x v="1"/>
    <x v="98"/>
    <x v="12"/>
    <x v="16"/>
    <x v="2"/>
    <x v="7"/>
    <x v="1"/>
    <m/>
  </r>
  <r>
    <x v="5"/>
    <d v="2026-01-04T00:00:00"/>
    <x v="5"/>
    <n v="15"/>
    <s v="Cuevas"/>
    <x v="1"/>
    <x v="98"/>
    <x v="1"/>
    <x v="22"/>
    <x v="5"/>
    <x v="5"/>
    <x v="2"/>
    <m/>
  </r>
  <r>
    <x v="5"/>
    <d v="2026-01-04T00:00:00"/>
    <x v="5"/>
    <n v="15"/>
    <s v="Cuevas"/>
    <x v="1"/>
    <x v="98"/>
    <x v="8"/>
    <x v="16"/>
    <x v="2"/>
    <x v="6"/>
    <x v="2"/>
    <m/>
  </r>
  <r>
    <x v="5"/>
    <d v="2026-01-04T00:00:00"/>
    <x v="5"/>
    <n v="15"/>
    <s v="Cuevas"/>
    <x v="1"/>
    <x v="98"/>
    <x v="5"/>
    <x v="16"/>
    <x v="2"/>
    <x v="6"/>
    <x v="2"/>
    <m/>
  </r>
  <r>
    <x v="5"/>
    <d v="2026-01-04T00:00:00"/>
    <x v="5"/>
    <n v="15"/>
    <s v="Cuevas"/>
    <x v="1"/>
    <x v="98"/>
    <x v="9"/>
    <x v="1"/>
    <x v="3"/>
    <x v="4"/>
    <x v="0"/>
    <m/>
  </r>
  <r>
    <x v="5"/>
    <d v="2026-01-04T00:00:00"/>
    <x v="5"/>
    <n v="15"/>
    <s v="Cuevas"/>
    <x v="1"/>
    <x v="98"/>
    <x v="9"/>
    <x v="16"/>
    <x v="3"/>
    <x v="0"/>
    <x v="0"/>
    <m/>
  </r>
  <r>
    <x v="5"/>
    <d v="2026-01-04T00:00:00"/>
    <x v="5"/>
    <n v="15"/>
    <s v="Cuevas"/>
    <x v="1"/>
    <x v="101"/>
    <x v="5"/>
    <x v="16"/>
    <x v="2"/>
    <x v="7"/>
    <x v="1"/>
    <m/>
  </r>
  <r>
    <x v="5"/>
    <d v="2026-01-04T00:00:00"/>
    <x v="5"/>
    <n v="15"/>
    <s v="Cuevas"/>
    <x v="1"/>
    <x v="101"/>
    <x v="11"/>
    <x v="16"/>
    <x v="3"/>
    <x v="7"/>
    <x v="1"/>
    <m/>
  </r>
  <r>
    <x v="5"/>
    <d v="2026-01-04T00:00:00"/>
    <x v="5"/>
    <n v="15"/>
    <s v="Cuevas"/>
    <x v="1"/>
    <x v="101"/>
    <x v="3"/>
    <x v="21"/>
    <x v="1"/>
    <x v="3"/>
    <x v="2"/>
    <m/>
  </r>
  <r>
    <x v="5"/>
    <d v="2026-01-04T00:00:00"/>
    <x v="5"/>
    <n v="15"/>
    <s v="Cuevas"/>
    <x v="1"/>
    <x v="101"/>
    <x v="5"/>
    <x v="16"/>
    <x v="3"/>
    <x v="2"/>
    <x v="1"/>
    <m/>
  </r>
  <r>
    <x v="5"/>
    <d v="2026-01-04T00:00:00"/>
    <x v="5"/>
    <n v="15"/>
    <s v="Cuevas"/>
    <x v="1"/>
    <x v="101"/>
    <x v="5"/>
    <x v="14"/>
    <x v="4"/>
    <x v="2"/>
    <x v="1"/>
    <m/>
  </r>
  <r>
    <x v="5"/>
    <d v="2026-01-04T00:00:00"/>
    <x v="5"/>
    <n v="15"/>
    <s v="Cuevas"/>
    <x v="1"/>
    <x v="101"/>
    <x v="11"/>
    <x v="16"/>
    <x v="3"/>
    <x v="6"/>
    <x v="2"/>
    <m/>
  </r>
  <r>
    <x v="5"/>
    <d v="2026-01-04T00:00:00"/>
    <x v="5"/>
    <n v="15"/>
    <s v="Cuevas"/>
    <x v="1"/>
    <x v="101"/>
    <x v="8"/>
    <x v="22"/>
    <x v="2"/>
    <x v="5"/>
    <x v="2"/>
    <m/>
  </r>
  <r>
    <x v="5"/>
    <d v="2026-01-04T00:00:00"/>
    <x v="5"/>
    <n v="15"/>
    <s v="Cuevas"/>
    <x v="1"/>
    <x v="101"/>
    <x v="1"/>
    <x v="16"/>
    <x v="3"/>
    <x v="1"/>
    <x v="0"/>
    <m/>
  </r>
  <r>
    <x v="5"/>
    <d v="2026-01-04T00:00:00"/>
    <x v="5"/>
    <n v="15"/>
    <s v="Cuevas"/>
    <x v="1"/>
    <x v="101"/>
    <x v="11"/>
    <x v="12"/>
    <x v="1"/>
    <x v="6"/>
    <x v="2"/>
    <m/>
  </r>
  <r>
    <x v="5"/>
    <d v="2026-01-04T00:00:00"/>
    <x v="5"/>
    <n v="15"/>
    <s v="Cuevas"/>
    <x v="1"/>
    <x v="101"/>
    <x v="3"/>
    <x v="17"/>
    <x v="3"/>
    <x v="2"/>
    <x v="1"/>
    <m/>
  </r>
  <r>
    <x v="5"/>
    <d v="2026-01-04T00:00:00"/>
    <x v="5"/>
    <n v="15"/>
    <s v="Cuevas"/>
    <x v="1"/>
    <x v="101"/>
    <x v="11"/>
    <x v="1"/>
    <x v="3"/>
    <x v="5"/>
    <x v="2"/>
    <m/>
  </r>
  <r>
    <x v="5"/>
    <d v="2026-01-04T00:00:00"/>
    <x v="5"/>
    <n v="15"/>
    <s v="Cuevas"/>
    <x v="1"/>
    <x v="101"/>
    <x v="20"/>
    <x v="16"/>
    <x v="3"/>
    <x v="7"/>
    <x v="1"/>
    <m/>
  </r>
  <r>
    <x v="5"/>
    <d v="2026-01-04T00:00:00"/>
    <x v="5"/>
    <n v="15"/>
    <s v="Cuevas"/>
    <x v="1"/>
    <x v="101"/>
    <x v="8"/>
    <x v="22"/>
    <x v="2"/>
    <x v="7"/>
    <x v="1"/>
    <m/>
  </r>
  <r>
    <x v="5"/>
    <d v="2026-01-04T00:00:00"/>
    <x v="5"/>
    <n v="15"/>
    <s v="Cuevas"/>
    <x v="1"/>
    <x v="101"/>
    <x v="20"/>
    <x v="16"/>
    <x v="3"/>
    <x v="0"/>
    <x v="0"/>
    <m/>
  </r>
  <r>
    <x v="5"/>
    <d v="2026-01-04T00:00:00"/>
    <x v="5"/>
    <n v="15"/>
    <s v="Cuevas"/>
    <x v="1"/>
    <x v="101"/>
    <x v="8"/>
    <x v="22"/>
    <x v="3"/>
    <x v="6"/>
    <x v="2"/>
    <m/>
  </r>
  <r>
    <x v="5"/>
    <d v="2026-01-04T00:00:00"/>
    <x v="5"/>
    <n v="15"/>
    <s v="Cuevas"/>
    <x v="1"/>
    <x v="101"/>
    <x v="8"/>
    <x v="7"/>
    <x v="1"/>
    <x v="6"/>
    <x v="2"/>
    <m/>
  </r>
  <r>
    <x v="5"/>
    <d v="2026-01-04T00:00:00"/>
    <x v="5"/>
    <n v="15"/>
    <s v="Cuevas"/>
    <x v="1"/>
    <x v="101"/>
    <x v="20"/>
    <x v="16"/>
    <x v="3"/>
    <x v="9"/>
    <x v="1"/>
    <m/>
  </r>
  <r>
    <x v="5"/>
    <d v="2026-01-04T00:00:00"/>
    <x v="5"/>
    <n v="15"/>
    <s v="Cuevas"/>
    <x v="1"/>
    <x v="101"/>
    <x v="20"/>
    <x v="12"/>
    <x v="3"/>
    <x v="9"/>
    <x v="1"/>
    <m/>
  </r>
  <r>
    <x v="5"/>
    <d v="2026-01-04T00:00:00"/>
    <x v="5"/>
    <n v="15"/>
    <s v="Cuevas"/>
    <x v="1"/>
    <x v="101"/>
    <x v="3"/>
    <x v="17"/>
    <x v="2"/>
    <x v="2"/>
    <x v="1"/>
    <m/>
  </r>
  <r>
    <x v="5"/>
    <d v="2026-01-04T00:00:00"/>
    <x v="5"/>
    <n v="15"/>
    <s v="Cuevas"/>
    <x v="1"/>
    <x v="101"/>
    <x v="12"/>
    <x v="22"/>
    <x v="3"/>
    <x v="3"/>
    <x v="2"/>
    <m/>
  </r>
  <r>
    <x v="5"/>
    <d v="2026-01-04T00:00:00"/>
    <x v="5"/>
    <n v="15"/>
    <s v="Cuevas"/>
    <x v="1"/>
    <x v="101"/>
    <x v="12"/>
    <x v="6"/>
    <x v="3"/>
    <x v="3"/>
    <x v="2"/>
    <m/>
  </r>
  <r>
    <x v="5"/>
    <d v="2026-01-04T00:00:00"/>
    <x v="5"/>
    <n v="15"/>
    <s v="Cuevas"/>
    <x v="1"/>
    <x v="101"/>
    <x v="12"/>
    <x v="11"/>
    <x v="1"/>
    <x v="2"/>
    <x v="1"/>
    <m/>
  </r>
  <r>
    <x v="5"/>
    <d v="2026-01-04T00:00:00"/>
    <x v="5"/>
    <n v="15"/>
    <s v="Cuevas"/>
    <x v="1"/>
    <x v="101"/>
    <x v="20"/>
    <x v="14"/>
    <x v="4"/>
    <x v="2"/>
    <x v="1"/>
    <m/>
  </r>
  <r>
    <x v="5"/>
    <d v="2026-01-04T00:00:00"/>
    <x v="5"/>
    <n v="15"/>
    <s v="Cuevas"/>
    <x v="1"/>
    <x v="101"/>
    <x v="20"/>
    <x v="13"/>
    <x v="1"/>
    <x v="2"/>
    <x v="1"/>
    <m/>
  </r>
  <r>
    <x v="5"/>
    <d v="2026-01-04T00:00:00"/>
    <x v="5"/>
    <n v="15"/>
    <s v="Cuevas"/>
    <x v="1"/>
    <x v="101"/>
    <x v="20"/>
    <x v="16"/>
    <x v="3"/>
    <x v="7"/>
    <x v="1"/>
    <m/>
  </r>
  <r>
    <x v="5"/>
    <d v="2026-01-04T00:00:00"/>
    <x v="5"/>
    <n v="15"/>
    <s v="Cuevas"/>
    <x v="1"/>
    <x v="101"/>
    <x v="8"/>
    <x v="22"/>
    <x v="3"/>
    <x v="7"/>
    <x v="1"/>
    <m/>
  </r>
  <r>
    <x v="5"/>
    <d v="2026-01-04T00:00:00"/>
    <x v="5"/>
    <n v="15"/>
    <s v="Cuevas"/>
    <x v="1"/>
    <x v="104"/>
    <x v="20"/>
    <x v="16"/>
    <x v="3"/>
    <x v="6"/>
    <x v="2"/>
    <m/>
  </r>
  <r>
    <x v="5"/>
    <d v="2026-01-04T00:00:00"/>
    <x v="5"/>
    <n v="15"/>
    <s v="Cuevas"/>
    <x v="1"/>
    <x v="104"/>
    <x v="1"/>
    <x v="16"/>
    <x v="3"/>
    <x v="1"/>
    <x v="0"/>
    <m/>
  </r>
  <r>
    <x v="5"/>
    <d v="2026-01-04T00:00:00"/>
    <x v="5"/>
    <n v="15"/>
    <s v="Cuevas"/>
    <x v="1"/>
    <x v="104"/>
    <x v="9"/>
    <x v="16"/>
    <x v="3"/>
    <x v="0"/>
    <x v="0"/>
    <m/>
  </r>
  <r>
    <x v="5"/>
    <d v="2026-01-04T00:00:00"/>
    <x v="5"/>
    <n v="15"/>
    <s v="Cuevas"/>
    <x v="1"/>
    <x v="104"/>
    <x v="12"/>
    <x v="22"/>
    <x v="2"/>
    <x v="6"/>
    <x v="2"/>
    <m/>
  </r>
  <r>
    <x v="5"/>
    <d v="2026-01-04T00:00:00"/>
    <x v="5"/>
    <n v="15"/>
    <s v="Cuevas"/>
    <x v="1"/>
    <x v="104"/>
    <x v="11"/>
    <x v="7"/>
    <x v="1"/>
    <x v="5"/>
    <x v="2"/>
    <m/>
  </r>
  <r>
    <x v="5"/>
    <d v="2026-01-04T00:00:00"/>
    <x v="5"/>
    <n v="15"/>
    <s v="Cuevas"/>
    <x v="1"/>
    <x v="104"/>
    <x v="8"/>
    <x v="7"/>
    <x v="1"/>
    <x v="5"/>
    <x v="2"/>
    <m/>
  </r>
  <r>
    <x v="5"/>
    <d v="2026-01-04T00:00:00"/>
    <x v="5"/>
    <n v="15"/>
    <s v="Cuevas"/>
    <x v="1"/>
    <x v="104"/>
    <x v="11"/>
    <x v="1"/>
    <x v="0"/>
    <x v="6"/>
    <x v="2"/>
    <m/>
  </r>
  <r>
    <x v="5"/>
    <d v="2026-01-04T00:00:00"/>
    <x v="5"/>
    <n v="15"/>
    <s v="Cuevas"/>
    <x v="1"/>
    <x v="104"/>
    <x v="8"/>
    <x v="1"/>
    <x v="0"/>
    <x v="6"/>
    <x v="2"/>
    <m/>
  </r>
  <r>
    <x v="5"/>
    <d v="2026-01-04T00:00:00"/>
    <x v="5"/>
    <n v="15"/>
    <s v="Cuevas"/>
    <x v="1"/>
    <x v="104"/>
    <x v="12"/>
    <x v="1"/>
    <x v="0"/>
    <x v="6"/>
    <x v="2"/>
    <m/>
  </r>
  <r>
    <x v="5"/>
    <d v="2026-01-04T00:00:00"/>
    <x v="5"/>
    <n v="15"/>
    <s v="Cuevas"/>
    <x v="1"/>
    <x v="104"/>
    <x v="20"/>
    <x v="16"/>
    <x v="3"/>
    <x v="7"/>
    <x v="1"/>
    <m/>
  </r>
  <r>
    <x v="5"/>
    <d v="2026-01-04T00:00:00"/>
    <x v="5"/>
    <n v="15"/>
    <s v="Cuevas"/>
    <x v="1"/>
    <x v="104"/>
    <x v="19"/>
    <x v="16"/>
    <x v="3"/>
    <x v="6"/>
    <x v="2"/>
    <m/>
  </r>
  <r>
    <x v="5"/>
    <d v="2026-01-04T00:00:00"/>
    <x v="5"/>
    <n v="15"/>
    <s v="Cuevas"/>
    <x v="1"/>
    <x v="104"/>
    <x v="8"/>
    <x v="22"/>
    <x v="0"/>
    <x v="7"/>
    <x v="1"/>
    <m/>
  </r>
  <r>
    <x v="5"/>
    <d v="2026-01-04T00:00:00"/>
    <x v="5"/>
    <n v="15"/>
    <s v="Cuevas"/>
    <x v="1"/>
    <x v="104"/>
    <x v="0"/>
    <x v="1"/>
    <x v="3"/>
    <x v="0"/>
    <x v="0"/>
    <m/>
  </r>
  <r>
    <x v="5"/>
    <d v="2026-01-04T00:00:00"/>
    <x v="5"/>
    <n v="15"/>
    <s v="Cuevas"/>
    <x v="1"/>
    <x v="104"/>
    <x v="5"/>
    <x v="8"/>
    <x v="1"/>
    <x v="6"/>
    <x v="2"/>
    <m/>
  </r>
  <r>
    <x v="5"/>
    <d v="2026-01-04T00:00:00"/>
    <x v="5"/>
    <n v="15"/>
    <s v="Cuevas"/>
    <x v="1"/>
    <x v="104"/>
    <x v="5"/>
    <x v="5"/>
    <x v="0"/>
    <x v="6"/>
    <x v="2"/>
    <m/>
  </r>
  <r>
    <x v="5"/>
    <d v="2026-01-04T00:00:00"/>
    <x v="5"/>
    <n v="15"/>
    <s v="Cuevas"/>
    <x v="1"/>
    <x v="104"/>
    <x v="16"/>
    <x v="16"/>
    <x v="3"/>
    <x v="6"/>
    <x v="2"/>
    <m/>
  </r>
  <r>
    <x v="5"/>
    <d v="2026-01-04T00:00:00"/>
    <x v="5"/>
    <n v="15"/>
    <s v="Cuevas"/>
    <x v="1"/>
    <x v="104"/>
    <x v="20"/>
    <x v="16"/>
    <x v="3"/>
    <x v="7"/>
    <x v="1"/>
    <m/>
  </r>
  <r>
    <x v="5"/>
    <d v="2026-01-04T00:00:00"/>
    <x v="5"/>
    <n v="15"/>
    <s v="Cuevas"/>
    <x v="1"/>
    <x v="104"/>
    <x v="20"/>
    <x v="22"/>
    <x v="0"/>
    <x v="7"/>
    <x v="1"/>
    <m/>
  </r>
  <r>
    <x v="5"/>
    <d v="2026-01-04T00:00:00"/>
    <x v="5"/>
    <n v="15"/>
    <s v="Cuevas"/>
    <x v="1"/>
    <x v="104"/>
    <x v="20"/>
    <x v="7"/>
    <x v="0"/>
    <x v="7"/>
    <x v="1"/>
    <m/>
  </r>
  <r>
    <x v="5"/>
    <d v="2026-01-04T00:00:00"/>
    <x v="5"/>
    <n v="15"/>
    <s v="Cuevas"/>
    <x v="1"/>
    <x v="104"/>
    <x v="22"/>
    <x v="1"/>
    <x v="0"/>
    <x v="6"/>
    <x v="2"/>
    <m/>
  </r>
  <r>
    <x v="5"/>
    <d v="2026-01-04T00:00:00"/>
    <x v="5"/>
    <n v="15"/>
    <s v="Cuevas"/>
    <x v="1"/>
    <x v="104"/>
    <x v="22"/>
    <x v="16"/>
    <x v="3"/>
    <x v="10"/>
    <x v="2"/>
    <m/>
  </r>
  <r>
    <x v="5"/>
    <d v="2026-01-04T00:00:00"/>
    <x v="5"/>
    <n v="15"/>
    <s v="Cuevas"/>
    <x v="1"/>
    <x v="104"/>
    <x v="8"/>
    <x v="22"/>
    <x v="0"/>
    <x v="10"/>
    <x v="2"/>
    <m/>
  </r>
  <r>
    <x v="5"/>
    <d v="2026-01-04T00:00:00"/>
    <x v="5"/>
    <n v="15"/>
    <s v="Cuevas"/>
    <x v="1"/>
    <x v="104"/>
    <x v="0"/>
    <x v="1"/>
    <x v="3"/>
    <x v="0"/>
    <x v="0"/>
    <m/>
  </r>
  <r>
    <x v="5"/>
    <d v="2026-01-04T00:00:00"/>
    <x v="5"/>
    <n v="15"/>
    <s v="Cuevas"/>
    <x v="1"/>
    <x v="104"/>
    <x v="16"/>
    <x v="7"/>
    <x v="0"/>
    <x v="6"/>
    <x v="2"/>
    <m/>
  </r>
  <r>
    <x v="5"/>
    <d v="2026-01-04T00:00:00"/>
    <x v="5"/>
    <n v="15"/>
    <s v="Cuevas"/>
    <x v="1"/>
    <x v="104"/>
    <x v="11"/>
    <x v="1"/>
    <x v="0"/>
    <x v="6"/>
    <x v="2"/>
    <m/>
  </r>
  <r>
    <x v="5"/>
    <d v="2026-01-04T00:00:00"/>
    <x v="5"/>
    <n v="15"/>
    <s v="Cuevas"/>
    <x v="1"/>
    <x v="104"/>
    <x v="0"/>
    <x v="7"/>
    <x v="1"/>
    <x v="6"/>
    <x v="2"/>
    <m/>
  </r>
  <r>
    <x v="5"/>
    <d v="2026-01-04T00:00:00"/>
    <x v="5"/>
    <n v="15"/>
    <s v="Cuevas"/>
    <x v="1"/>
    <x v="104"/>
    <x v="22"/>
    <x v="1"/>
    <x v="3"/>
    <x v="6"/>
    <x v="2"/>
    <m/>
  </r>
  <r>
    <x v="5"/>
    <d v="2026-01-04T00:00:00"/>
    <x v="5"/>
    <n v="15"/>
    <s v="Cuevas"/>
    <x v="1"/>
    <x v="104"/>
    <x v="22"/>
    <x v="8"/>
    <x v="1"/>
    <x v="6"/>
    <x v="2"/>
    <m/>
  </r>
  <r>
    <x v="5"/>
    <d v="2026-01-04T00:00:00"/>
    <x v="5"/>
    <n v="15"/>
    <s v="Cuevas"/>
    <x v="1"/>
    <x v="104"/>
    <x v="22"/>
    <x v="16"/>
    <x v="2"/>
    <x v="6"/>
    <x v="2"/>
    <m/>
  </r>
  <r>
    <x v="5"/>
    <d v="2026-01-04T00:00:00"/>
    <x v="5"/>
    <n v="15"/>
    <s v="Cuevas"/>
    <x v="1"/>
    <x v="104"/>
    <x v="19"/>
    <x v="22"/>
    <x v="1"/>
    <x v="4"/>
    <x v="0"/>
    <m/>
  </r>
  <r>
    <x v="5"/>
    <d v="2026-01-04T00:00:00"/>
    <x v="5"/>
    <n v="15"/>
    <s v="Cuevas"/>
    <x v="1"/>
    <x v="104"/>
    <x v="19"/>
    <x v="7"/>
    <x v="1"/>
    <x v="4"/>
    <x v="0"/>
    <m/>
  </r>
  <r>
    <x v="5"/>
    <d v="2026-01-04T00:00:00"/>
    <x v="5"/>
    <n v="15"/>
    <s v="Cuevas"/>
    <x v="1"/>
    <x v="104"/>
    <x v="2"/>
    <x v="6"/>
    <x v="0"/>
    <x v="10"/>
    <x v="2"/>
    <m/>
  </r>
  <r>
    <x v="5"/>
    <d v="2026-01-04T00:00:00"/>
    <x v="5"/>
    <n v="15"/>
    <s v="Cuevas"/>
    <x v="1"/>
    <x v="104"/>
    <x v="8"/>
    <x v="17"/>
    <x v="3"/>
    <x v="7"/>
    <x v="1"/>
    <m/>
  </r>
  <r>
    <x v="5"/>
    <d v="2026-01-04T00:00:00"/>
    <x v="5"/>
    <n v="15"/>
    <s v="Cuevas"/>
    <x v="1"/>
    <x v="104"/>
    <x v="8"/>
    <x v="7"/>
    <x v="1"/>
    <x v="7"/>
    <x v="1"/>
    <m/>
  </r>
  <r>
    <x v="5"/>
    <d v="2026-01-04T00:00:00"/>
    <x v="5"/>
    <n v="15"/>
    <s v="Cuevas"/>
    <x v="1"/>
    <x v="104"/>
    <x v="22"/>
    <x v="16"/>
    <x v="3"/>
    <x v="4"/>
    <x v="0"/>
    <m/>
  </r>
  <r>
    <x v="5"/>
    <d v="2026-01-04T00:00:00"/>
    <x v="5"/>
    <n v="15"/>
    <s v="Cuevas"/>
    <x v="1"/>
    <x v="104"/>
    <x v="11"/>
    <x v="1"/>
    <x v="3"/>
    <x v="6"/>
    <x v="2"/>
    <m/>
  </r>
  <r>
    <x v="5"/>
    <d v="2026-01-04T00:00:00"/>
    <x v="5"/>
    <n v="15"/>
    <s v="Cuevas"/>
    <x v="1"/>
    <x v="104"/>
    <x v="19"/>
    <x v="16"/>
    <x v="3"/>
    <x v="4"/>
    <x v="0"/>
    <m/>
  </r>
  <r>
    <x v="5"/>
    <d v="2026-01-04T00:00:00"/>
    <x v="5"/>
    <n v="15"/>
    <s v="Cuevas"/>
    <x v="1"/>
    <x v="104"/>
    <x v="2"/>
    <x v="17"/>
    <x v="3"/>
    <x v="5"/>
    <x v="2"/>
    <m/>
  </r>
  <r>
    <x v="5"/>
    <d v="2026-01-04T00:00:00"/>
    <x v="5"/>
    <n v="15"/>
    <s v="Cuevas"/>
    <x v="1"/>
    <x v="104"/>
    <x v="2"/>
    <x v="17"/>
    <x v="3"/>
    <x v="2"/>
    <x v="1"/>
    <m/>
  </r>
  <r>
    <x v="5"/>
    <d v="2026-01-04T00:00:00"/>
    <x v="5"/>
    <n v="15"/>
    <s v="Cuevas"/>
    <x v="1"/>
    <x v="104"/>
    <x v="16"/>
    <x v="16"/>
    <x v="3"/>
    <x v="5"/>
    <x v="2"/>
    <m/>
  </r>
  <r>
    <x v="5"/>
    <d v="2026-01-04T00:00:00"/>
    <x v="5"/>
    <n v="15"/>
    <s v="Cuevas"/>
    <x v="1"/>
    <x v="104"/>
    <x v="11"/>
    <x v="22"/>
    <x v="3"/>
    <x v="5"/>
    <x v="2"/>
    <m/>
  </r>
  <r>
    <x v="5"/>
    <d v="2026-01-04T00:00:00"/>
    <x v="5"/>
    <n v="15"/>
    <s v="Cuevas"/>
    <x v="1"/>
    <x v="104"/>
    <x v="2"/>
    <x v="16"/>
    <x v="3"/>
    <x v="7"/>
    <x v="1"/>
    <m/>
  </r>
  <r>
    <x v="5"/>
    <d v="2026-01-04T00:00:00"/>
    <x v="5"/>
    <n v="15"/>
    <s v="Cuevas"/>
    <x v="1"/>
    <x v="104"/>
    <x v="8"/>
    <x v="14"/>
    <x v="4"/>
    <x v="7"/>
    <x v="1"/>
    <m/>
  </r>
  <r>
    <x v="5"/>
    <d v="2026-01-04T00:00:00"/>
    <x v="5"/>
    <n v="15"/>
    <s v="Cuevas"/>
    <x v="1"/>
    <x v="104"/>
    <x v="11"/>
    <x v="16"/>
    <x v="3"/>
    <x v="9"/>
    <x v="2"/>
    <m/>
  </r>
  <r>
    <x v="5"/>
    <d v="2026-01-04T00:00:00"/>
    <x v="5"/>
    <n v="15"/>
    <s v="Cuevas"/>
    <x v="1"/>
    <x v="104"/>
    <x v="11"/>
    <x v="1"/>
    <x v="3"/>
    <x v="9"/>
    <x v="2"/>
    <m/>
  </r>
  <r>
    <x v="5"/>
    <d v="2026-01-04T00:00:00"/>
    <x v="5"/>
    <n v="15"/>
    <s v="Cuevas"/>
    <x v="1"/>
    <x v="104"/>
    <x v="9"/>
    <x v="16"/>
    <x v="3"/>
    <x v="0"/>
    <x v="0"/>
    <m/>
  </r>
  <r>
    <x v="5"/>
    <d v="2026-01-04T00:00:00"/>
    <x v="5"/>
    <n v="15"/>
    <s v="Cuevas"/>
    <x v="1"/>
    <x v="104"/>
    <x v="23"/>
    <x v="20"/>
    <x v="5"/>
    <x v="11"/>
    <x v="3"/>
    <m/>
  </r>
  <r>
    <x v="5"/>
    <d v="2026-01-04T00:00:00"/>
    <x v="5"/>
    <n v="15"/>
    <s v="Cuevas"/>
    <x v="1"/>
    <x v="104"/>
    <x v="23"/>
    <x v="20"/>
    <x v="5"/>
    <x v="11"/>
    <x v="3"/>
    <m/>
  </r>
  <r>
    <x v="6"/>
    <d v="2026-01-04T00:00:00"/>
    <x v="5"/>
    <n v="15"/>
    <s v="Cuevas"/>
    <x v="1"/>
    <x v="97"/>
    <x v="11"/>
    <x v="7"/>
    <x v="1"/>
    <x v="6"/>
    <x v="3"/>
    <m/>
  </r>
  <r>
    <x v="6"/>
    <d v="2026-01-04T00:00:00"/>
    <x v="5"/>
    <n v="15"/>
    <s v="Cuevas"/>
    <x v="1"/>
    <x v="97"/>
    <x v="8"/>
    <x v="16"/>
    <x v="3"/>
    <x v="5"/>
    <x v="3"/>
    <m/>
  </r>
  <r>
    <x v="6"/>
    <d v="2026-01-04T00:00:00"/>
    <x v="5"/>
    <n v="15"/>
    <s v="Cuevas"/>
    <x v="1"/>
    <x v="97"/>
    <x v="12"/>
    <x v="7"/>
    <x v="1"/>
    <x v="6"/>
    <x v="3"/>
    <m/>
  </r>
  <r>
    <x v="6"/>
    <d v="2026-01-04T00:00:00"/>
    <x v="5"/>
    <n v="15"/>
    <s v="Cuevas"/>
    <x v="1"/>
    <x v="97"/>
    <x v="1"/>
    <x v="21"/>
    <x v="1"/>
    <x v="1"/>
    <x v="3"/>
    <m/>
  </r>
  <r>
    <x v="6"/>
    <d v="2026-01-04T00:00:00"/>
    <x v="5"/>
    <n v="15"/>
    <s v="Cuevas"/>
    <x v="1"/>
    <x v="97"/>
    <x v="1"/>
    <x v="1"/>
    <x v="3"/>
    <x v="6"/>
    <x v="3"/>
    <m/>
  </r>
  <r>
    <x v="6"/>
    <d v="2026-01-04T00:00:00"/>
    <x v="5"/>
    <n v="15"/>
    <s v="Cuevas"/>
    <x v="1"/>
    <x v="97"/>
    <x v="1"/>
    <x v="1"/>
    <x v="3"/>
    <x v="6"/>
    <x v="3"/>
    <m/>
  </r>
  <r>
    <x v="6"/>
    <d v="2026-01-04T00:00:00"/>
    <x v="5"/>
    <n v="15"/>
    <s v="Cuevas"/>
    <x v="1"/>
    <x v="97"/>
    <x v="11"/>
    <x v="16"/>
    <x v="3"/>
    <x v="6"/>
    <x v="3"/>
    <m/>
  </r>
  <r>
    <x v="6"/>
    <d v="2026-01-04T00:00:00"/>
    <x v="5"/>
    <n v="15"/>
    <s v="Cuevas"/>
    <x v="1"/>
    <x v="97"/>
    <x v="11"/>
    <x v="17"/>
    <x v="3"/>
    <x v="6"/>
    <x v="3"/>
    <m/>
  </r>
  <r>
    <x v="6"/>
    <d v="2026-01-04T00:00:00"/>
    <x v="5"/>
    <n v="15"/>
    <s v="Cuevas"/>
    <x v="1"/>
    <x v="97"/>
    <x v="12"/>
    <x v="7"/>
    <x v="5"/>
    <x v="6"/>
    <x v="3"/>
    <m/>
  </r>
  <r>
    <x v="6"/>
    <d v="2026-01-04T00:00:00"/>
    <x v="5"/>
    <n v="15"/>
    <s v="Cuevas"/>
    <x v="1"/>
    <x v="97"/>
    <x v="11"/>
    <x v="18"/>
    <x v="1"/>
    <x v="6"/>
    <x v="3"/>
    <m/>
  </r>
  <r>
    <x v="6"/>
    <d v="2026-01-04T00:00:00"/>
    <x v="5"/>
    <n v="15"/>
    <s v="Cuevas"/>
    <x v="1"/>
    <x v="97"/>
    <x v="12"/>
    <x v="3"/>
    <x v="3"/>
    <x v="7"/>
    <x v="3"/>
    <m/>
  </r>
  <r>
    <x v="6"/>
    <d v="2026-01-04T00:00:00"/>
    <x v="5"/>
    <n v="15"/>
    <s v="Cuevas"/>
    <x v="1"/>
    <x v="97"/>
    <x v="8"/>
    <x v="19"/>
    <x v="1"/>
    <x v="2"/>
    <x v="3"/>
    <m/>
  </r>
  <r>
    <x v="6"/>
    <d v="2026-01-04T00:00:00"/>
    <x v="5"/>
    <n v="15"/>
    <s v="Cuevas"/>
    <x v="1"/>
    <x v="97"/>
    <x v="0"/>
    <x v="16"/>
    <x v="3"/>
    <x v="0"/>
    <x v="3"/>
    <m/>
  </r>
  <r>
    <x v="6"/>
    <d v="2026-01-04T00:00:00"/>
    <x v="5"/>
    <n v="15"/>
    <s v="Cuevas"/>
    <x v="1"/>
    <x v="97"/>
    <x v="8"/>
    <x v="22"/>
    <x v="0"/>
    <x v="6"/>
    <x v="3"/>
    <m/>
  </r>
  <r>
    <x v="6"/>
    <d v="2026-01-04T00:00:00"/>
    <x v="5"/>
    <n v="15"/>
    <s v="Cuevas"/>
    <x v="1"/>
    <x v="97"/>
    <x v="12"/>
    <x v="9"/>
    <x v="1"/>
    <x v="6"/>
    <x v="3"/>
    <m/>
  </r>
  <r>
    <x v="6"/>
    <d v="2026-01-04T00:00:00"/>
    <x v="5"/>
    <n v="15"/>
    <s v="Cuevas"/>
    <x v="1"/>
    <x v="97"/>
    <x v="1"/>
    <x v="17"/>
    <x v="2"/>
    <x v="1"/>
    <x v="3"/>
    <m/>
  </r>
  <r>
    <x v="6"/>
    <d v="2026-01-04T00:00:00"/>
    <x v="5"/>
    <n v="15"/>
    <s v="Cuevas"/>
    <x v="1"/>
    <x v="97"/>
    <x v="0"/>
    <x v="1"/>
    <x v="1"/>
    <x v="0"/>
    <x v="3"/>
    <m/>
  </r>
  <r>
    <x v="6"/>
    <d v="2026-01-04T00:00:00"/>
    <x v="5"/>
    <n v="15"/>
    <s v="Cuevas"/>
    <x v="1"/>
    <x v="97"/>
    <x v="9"/>
    <x v="7"/>
    <x v="0"/>
    <x v="6"/>
    <x v="3"/>
    <m/>
  </r>
  <r>
    <x v="6"/>
    <d v="2026-01-04T00:00:00"/>
    <x v="5"/>
    <n v="15"/>
    <s v="Cuevas"/>
    <x v="1"/>
    <x v="97"/>
    <x v="8"/>
    <x v="9"/>
    <x v="0"/>
    <x v="6"/>
    <x v="3"/>
    <s v="eror de marca en corner a la frontal"/>
  </r>
  <r>
    <x v="6"/>
    <d v="2026-01-04T00:00:00"/>
    <x v="5"/>
    <n v="15"/>
    <s v="Cuevas"/>
    <x v="1"/>
    <x v="97"/>
    <x v="20"/>
    <x v="9"/>
    <x v="1"/>
    <x v="6"/>
    <x v="3"/>
    <m/>
  </r>
  <r>
    <x v="6"/>
    <d v="2026-01-04T00:00:00"/>
    <x v="5"/>
    <n v="15"/>
    <s v="Cuevas"/>
    <x v="1"/>
    <x v="97"/>
    <x v="8"/>
    <x v="17"/>
    <x v="3"/>
    <x v="5"/>
    <x v="3"/>
    <m/>
  </r>
  <r>
    <x v="6"/>
    <d v="2026-01-04T00:00:00"/>
    <x v="5"/>
    <n v="15"/>
    <s v="Cuevas"/>
    <x v="1"/>
    <x v="97"/>
    <x v="8"/>
    <x v="12"/>
    <x v="1"/>
    <x v="2"/>
    <x v="3"/>
    <m/>
  </r>
  <r>
    <x v="6"/>
    <d v="2026-01-04T00:00:00"/>
    <x v="5"/>
    <n v="15"/>
    <s v="Cuevas"/>
    <x v="1"/>
    <x v="97"/>
    <x v="20"/>
    <x v="14"/>
    <x v="4"/>
    <x v="2"/>
    <x v="3"/>
    <m/>
  </r>
  <r>
    <x v="6"/>
    <d v="2026-01-04T00:00:00"/>
    <x v="5"/>
    <n v="15"/>
    <s v="Cuevas"/>
    <x v="1"/>
    <x v="97"/>
    <x v="12"/>
    <x v="21"/>
    <x v="1"/>
    <x v="3"/>
    <x v="3"/>
    <s v="corner"/>
  </r>
  <r>
    <x v="6"/>
    <d v="2026-01-04T00:00:00"/>
    <x v="5"/>
    <n v="15"/>
    <s v="Cuevas"/>
    <x v="1"/>
    <x v="97"/>
    <x v="1"/>
    <x v="1"/>
    <x v="1"/>
    <x v="1"/>
    <x v="3"/>
    <m/>
  </r>
  <r>
    <x v="6"/>
    <d v="2026-01-04T00:00:00"/>
    <x v="5"/>
    <n v="15"/>
    <s v="Cuevas"/>
    <x v="1"/>
    <x v="97"/>
    <x v="1"/>
    <x v="9"/>
    <x v="5"/>
    <x v="1"/>
    <x v="3"/>
    <m/>
  </r>
  <r>
    <x v="6"/>
    <d v="2026-01-04T00:00:00"/>
    <x v="5"/>
    <n v="15"/>
    <s v="Cuevas"/>
    <x v="1"/>
    <x v="97"/>
    <x v="0"/>
    <x v="16"/>
    <x v="3"/>
    <x v="0"/>
    <x v="3"/>
    <m/>
  </r>
  <r>
    <x v="6"/>
    <d v="2026-01-04T00:00:00"/>
    <x v="5"/>
    <n v="15"/>
    <s v="Cuevas"/>
    <x v="1"/>
    <x v="97"/>
    <x v="9"/>
    <x v="16"/>
    <x v="3"/>
    <x v="0"/>
    <x v="3"/>
    <m/>
  </r>
  <r>
    <x v="6"/>
    <d v="2026-01-04T00:00:00"/>
    <x v="5"/>
    <n v="15"/>
    <s v="Cuevas"/>
    <x v="1"/>
    <x v="97"/>
    <x v="5"/>
    <x v="7"/>
    <x v="1"/>
    <x v="0"/>
    <x v="3"/>
    <m/>
  </r>
  <r>
    <x v="6"/>
    <d v="2026-01-04T00:00:00"/>
    <x v="5"/>
    <n v="15"/>
    <s v="Cuevas"/>
    <x v="1"/>
    <x v="97"/>
    <x v="19"/>
    <x v="21"/>
    <x v="1"/>
    <x v="10"/>
    <x v="3"/>
    <m/>
  </r>
  <r>
    <x v="6"/>
    <d v="2026-01-04T00:00:00"/>
    <x v="5"/>
    <n v="15"/>
    <s v="Cuevas"/>
    <x v="1"/>
    <x v="97"/>
    <x v="5"/>
    <x v="1"/>
    <x v="1"/>
    <x v="4"/>
    <x v="3"/>
    <m/>
  </r>
  <r>
    <x v="6"/>
    <d v="2026-01-04T00:00:00"/>
    <x v="5"/>
    <n v="15"/>
    <s v="Cuevas"/>
    <x v="1"/>
    <x v="100"/>
    <x v="8"/>
    <x v="1"/>
    <x v="3"/>
    <x v="5"/>
    <x v="3"/>
    <m/>
  </r>
  <r>
    <x v="6"/>
    <d v="2026-01-04T00:00:00"/>
    <x v="5"/>
    <n v="15"/>
    <s v="Cuevas"/>
    <x v="1"/>
    <x v="100"/>
    <x v="1"/>
    <x v="16"/>
    <x v="3"/>
    <x v="0"/>
    <x v="3"/>
    <m/>
  </r>
  <r>
    <x v="6"/>
    <d v="2026-01-04T00:00:00"/>
    <x v="5"/>
    <n v="15"/>
    <s v="Cuevas"/>
    <x v="1"/>
    <x v="100"/>
    <x v="12"/>
    <x v="22"/>
    <x v="0"/>
    <x v="6"/>
    <x v="3"/>
    <m/>
  </r>
  <r>
    <x v="6"/>
    <d v="2026-01-04T00:00:00"/>
    <x v="5"/>
    <n v="15"/>
    <s v="Cuevas"/>
    <x v="1"/>
    <x v="100"/>
    <x v="0"/>
    <x v="1"/>
    <x v="3"/>
    <x v="6"/>
    <x v="3"/>
    <m/>
  </r>
  <r>
    <x v="6"/>
    <d v="2026-01-04T00:00:00"/>
    <x v="5"/>
    <n v="15"/>
    <s v="Cuevas"/>
    <x v="1"/>
    <x v="100"/>
    <x v="11"/>
    <x v="18"/>
    <x v="1"/>
    <x v="5"/>
    <x v="3"/>
    <m/>
  </r>
  <r>
    <x v="6"/>
    <d v="2026-01-04T00:00:00"/>
    <x v="5"/>
    <n v="15"/>
    <s v="Cuevas"/>
    <x v="1"/>
    <x v="100"/>
    <x v="8"/>
    <x v="17"/>
    <x v="3"/>
    <x v="7"/>
    <x v="3"/>
    <m/>
  </r>
  <r>
    <x v="6"/>
    <d v="2026-01-04T00:00:00"/>
    <x v="5"/>
    <n v="15"/>
    <s v="Cuevas"/>
    <x v="1"/>
    <x v="100"/>
    <x v="8"/>
    <x v="11"/>
    <x v="1"/>
    <x v="7"/>
    <x v="3"/>
    <m/>
  </r>
  <r>
    <x v="6"/>
    <d v="2026-01-04T00:00:00"/>
    <x v="5"/>
    <n v="15"/>
    <s v="Cuevas"/>
    <x v="1"/>
    <x v="100"/>
    <x v="12"/>
    <x v="21"/>
    <x v="1"/>
    <x v="3"/>
    <x v="3"/>
    <m/>
  </r>
  <r>
    <x v="6"/>
    <d v="2026-01-04T00:00:00"/>
    <x v="5"/>
    <n v="15"/>
    <s v="Cuevas"/>
    <x v="1"/>
    <x v="100"/>
    <x v="8"/>
    <x v="1"/>
    <x v="0"/>
    <x v="5"/>
    <x v="3"/>
    <m/>
  </r>
  <r>
    <x v="6"/>
    <d v="2026-01-04T00:00:00"/>
    <x v="5"/>
    <n v="15"/>
    <s v="Cuevas"/>
    <x v="1"/>
    <x v="100"/>
    <x v="5"/>
    <x v="1"/>
    <x v="0"/>
    <x v="5"/>
    <x v="3"/>
    <m/>
  </r>
  <r>
    <x v="6"/>
    <d v="2026-01-04T00:00:00"/>
    <x v="5"/>
    <n v="15"/>
    <s v="Cuevas"/>
    <x v="1"/>
    <x v="100"/>
    <x v="11"/>
    <x v="17"/>
    <x v="3"/>
    <x v="6"/>
    <x v="3"/>
    <m/>
  </r>
  <r>
    <x v="6"/>
    <d v="2026-01-04T00:00:00"/>
    <x v="5"/>
    <n v="15"/>
    <s v="Cuevas"/>
    <x v="1"/>
    <x v="100"/>
    <x v="3"/>
    <x v="7"/>
    <x v="0"/>
    <x v="5"/>
    <x v="3"/>
    <m/>
  </r>
  <r>
    <x v="6"/>
    <d v="2026-01-04T00:00:00"/>
    <x v="5"/>
    <n v="15"/>
    <s v="Cuevas"/>
    <x v="1"/>
    <x v="100"/>
    <x v="1"/>
    <x v="1"/>
    <x v="0"/>
    <x v="9"/>
    <x v="3"/>
    <m/>
  </r>
  <r>
    <x v="6"/>
    <d v="2026-01-04T00:00:00"/>
    <x v="5"/>
    <n v="15"/>
    <s v="Cuevas"/>
    <x v="1"/>
    <x v="100"/>
    <x v="0"/>
    <x v="1"/>
    <x v="0"/>
    <x v="9"/>
    <x v="3"/>
    <m/>
  </r>
  <r>
    <x v="6"/>
    <d v="2026-01-04T00:00:00"/>
    <x v="5"/>
    <n v="15"/>
    <s v="Cuevas"/>
    <x v="1"/>
    <x v="100"/>
    <x v="5"/>
    <x v="5"/>
    <x v="0"/>
    <x v="6"/>
    <x v="3"/>
    <m/>
  </r>
  <r>
    <x v="6"/>
    <d v="2026-01-04T00:00:00"/>
    <x v="5"/>
    <n v="15"/>
    <s v="Cuevas"/>
    <x v="1"/>
    <x v="100"/>
    <x v="8"/>
    <x v="16"/>
    <x v="3"/>
    <x v="7"/>
    <x v="3"/>
    <m/>
  </r>
  <r>
    <x v="6"/>
    <d v="2026-01-04T00:00:00"/>
    <x v="5"/>
    <n v="15"/>
    <s v="Cuevas"/>
    <x v="1"/>
    <x v="100"/>
    <x v="11"/>
    <x v="22"/>
    <x v="0"/>
    <x v="5"/>
    <x v="3"/>
    <m/>
  </r>
  <r>
    <x v="6"/>
    <d v="2026-01-04T00:00:00"/>
    <x v="5"/>
    <n v="15"/>
    <s v="Cuevas"/>
    <x v="1"/>
    <x v="100"/>
    <x v="8"/>
    <x v="17"/>
    <x v="3"/>
    <x v="7"/>
    <x v="3"/>
    <m/>
  </r>
  <r>
    <x v="6"/>
    <d v="2026-01-04T00:00:00"/>
    <x v="5"/>
    <n v="15"/>
    <s v="Cuevas"/>
    <x v="1"/>
    <x v="100"/>
    <x v="8"/>
    <x v="11"/>
    <x v="5"/>
    <x v="10"/>
    <x v="3"/>
    <m/>
  </r>
  <r>
    <x v="6"/>
    <d v="2026-01-04T00:00:00"/>
    <x v="5"/>
    <n v="15"/>
    <s v="Cuevas"/>
    <x v="1"/>
    <x v="100"/>
    <x v="3"/>
    <x v="14"/>
    <x v="4"/>
    <x v="7"/>
    <x v="3"/>
    <m/>
  </r>
  <r>
    <x v="6"/>
    <d v="2026-01-04T00:00:00"/>
    <x v="5"/>
    <n v="15"/>
    <s v="Cuevas"/>
    <x v="1"/>
    <x v="100"/>
    <x v="0"/>
    <x v="1"/>
    <x v="1"/>
    <x v="0"/>
    <x v="3"/>
    <m/>
  </r>
  <r>
    <x v="6"/>
    <d v="2026-01-04T00:00:00"/>
    <x v="5"/>
    <n v="15"/>
    <s v="Cuevas"/>
    <x v="1"/>
    <x v="100"/>
    <x v="9"/>
    <x v="1"/>
    <x v="1"/>
    <x v="0"/>
    <x v="3"/>
    <m/>
  </r>
  <r>
    <x v="6"/>
    <d v="2026-01-04T00:00:00"/>
    <x v="5"/>
    <n v="15"/>
    <s v="Cuevas"/>
    <x v="1"/>
    <x v="100"/>
    <x v="20"/>
    <x v="16"/>
    <x v="3"/>
    <x v="7"/>
    <x v="3"/>
    <m/>
  </r>
  <r>
    <x v="6"/>
    <d v="2026-01-04T00:00:00"/>
    <x v="5"/>
    <n v="15"/>
    <s v="Cuevas"/>
    <x v="1"/>
    <x v="100"/>
    <x v="8"/>
    <x v="22"/>
    <x v="3"/>
    <x v="7"/>
    <x v="3"/>
    <m/>
  </r>
  <r>
    <x v="6"/>
    <d v="2026-01-04T00:00:00"/>
    <x v="5"/>
    <n v="15"/>
    <s v="Cuevas"/>
    <x v="1"/>
    <x v="100"/>
    <x v="5"/>
    <x v="1"/>
    <x v="3"/>
    <x v="6"/>
    <x v="3"/>
    <m/>
  </r>
  <r>
    <x v="6"/>
    <d v="2026-01-04T00:00:00"/>
    <x v="5"/>
    <n v="15"/>
    <s v="Cuevas"/>
    <x v="1"/>
    <x v="100"/>
    <x v="8"/>
    <x v="16"/>
    <x v="3"/>
    <x v="6"/>
    <x v="3"/>
    <m/>
  </r>
  <r>
    <x v="6"/>
    <d v="2026-01-04T00:00:00"/>
    <x v="5"/>
    <n v="15"/>
    <s v="Cuevas"/>
    <x v="1"/>
    <x v="100"/>
    <x v="5"/>
    <x v="22"/>
    <x v="3"/>
    <x v="6"/>
    <x v="3"/>
    <m/>
  </r>
  <r>
    <x v="6"/>
    <d v="2026-01-04T00:00:00"/>
    <x v="5"/>
    <n v="15"/>
    <s v="Cuevas"/>
    <x v="1"/>
    <x v="100"/>
    <x v="5"/>
    <x v="18"/>
    <x v="3"/>
    <x v="6"/>
    <x v="3"/>
    <m/>
  </r>
  <r>
    <x v="6"/>
    <d v="2026-01-04T00:00:00"/>
    <x v="5"/>
    <n v="15"/>
    <s v="Cuevas"/>
    <x v="1"/>
    <x v="103"/>
    <x v="1"/>
    <x v="16"/>
    <x v="3"/>
    <x v="6"/>
    <x v="3"/>
    <m/>
  </r>
  <r>
    <x v="6"/>
    <d v="2026-01-04T00:00:00"/>
    <x v="5"/>
    <n v="15"/>
    <s v="Cuevas"/>
    <x v="1"/>
    <x v="103"/>
    <x v="12"/>
    <x v="22"/>
    <x v="3"/>
    <x v="6"/>
    <x v="3"/>
    <m/>
  </r>
  <r>
    <x v="6"/>
    <d v="2026-01-04T00:00:00"/>
    <x v="5"/>
    <n v="15"/>
    <s v="Cuevas"/>
    <x v="1"/>
    <x v="103"/>
    <x v="20"/>
    <x v="17"/>
    <x v="3"/>
    <x v="9"/>
    <x v="3"/>
    <m/>
  </r>
  <r>
    <x v="6"/>
    <d v="2026-01-04T00:00:00"/>
    <x v="5"/>
    <n v="15"/>
    <s v="Cuevas"/>
    <x v="1"/>
    <x v="103"/>
    <x v="8"/>
    <x v="22"/>
    <x v="1"/>
    <x v="9"/>
    <x v="3"/>
    <m/>
  </r>
  <r>
    <x v="6"/>
    <d v="2026-01-04T00:00:00"/>
    <x v="5"/>
    <n v="15"/>
    <s v="Cuevas"/>
    <x v="1"/>
    <x v="103"/>
    <x v="12"/>
    <x v="16"/>
    <x v="2"/>
    <x v="6"/>
    <x v="3"/>
    <m/>
  </r>
  <r>
    <x v="6"/>
    <d v="2026-01-04T00:00:00"/>
    <x v="5"/>
    <n v="15"/>
    <s v="Cuevas"/>
    <x v="1"/>
    <x v="103"/>
    <x v="11"/>
    <x v="22"/>
    <x v="2"/>
    <x v="6"/>
    <x v="3"/>
    <m/>
  </r>
  <r>
    <x v="6"/>
    <d v="2026-01-04T00:00:00"/>
    <x v="5"/>
    <n v="15"/>
    <s v="Cuevas"/>
    <x v="1"/>
    <x v="103"/>
    <x v="1"/>
    <x v="1"/>
    <x v="3"/>
    <x v="6"/>
    <x v="3"/>
    <m/>
  </r>
  <r>
    <x v="6"/>
    <d v="2026-01-04T00:00:00"/>
    <x v="5"/>
    <n v="15"/>
    <s v="Cuevas"/>
    <x v="1"/>
    <x v="103"/>
    <x v="11"/>
    <x v="1"/>
    <x v="1"/>
    <x v="6"/>
    <x v="3"/>
    <m/>
  </r>
  <r>
    <x v="6"/>
    <d v="2026-01-04T00:00:00"/>
    <x v="5"/>
    <n v="15"/>
    <s v="Cuevas"/>
    <x v="1"/>
    <x v="103"/>
    <x v="12"/>
    <x v="18"/>
    <x v="1"/>
    <x v="6"/>
    <x v="3"/>
    <m/>
  </r>
  <r>
    <x v="6"/>
    <d v="2026-01-04T00:00:00"/>
    <x v="5"/>
    <n v="15"/>
    <s v="Cuevas"/>
    <x v="1"/>
    <x v="103"/>
    <x v="20"/>
    <x v="17"/>
    <x v="2"/>
    <x v="9"/>
    <x v="3"/>
    <m/>
  </r>
  <r>
    <x v="6"/>
    <d v="2026-01-04T00:00:00"/>
    <x v="5"/>
    <n v="15"/>
    <s v="Cuevas"/>
    <x v="1"/>
    <x v="103"/>
    <x v="3"/>
    <x v="22"/>
    <x v="1"/>
    <x v="9"/>
    <x v="3"/>
    <m/>
  </r>
  <r>
    <x v="6"/>
    <d v="2026-01-04T00:00:00"/>
    <x v="5"/>
    <n v="15"/>
    <s v="Cuevas"/>
    <x v="1"/>
    <x v="103"/>
    <x v="3"/>
    <x v="8"/>
    <x v="1"/>
    <x v="9"/>
    <x v="3"/>
    <m/>
  </r>
  <r>
    <x v="6"/>
    <d v="2026-01-04T00:00:00"/>
    <x v="5"/>
    <n v="15"/>
    <s v="Cuevas"/>
    <x v="1"/>
    <x v="103"/>
    <x v="9"/>
    <x v="16"/>
    <x v="3"/>
    <x v="4"/>
    <x v="3"/>
    <m/>
  </r>
  <r>
    <x v="6"/>
    <d v="2026-01-04T00:00:00"/>
    <x v="5"/>
    <n v="15"/>
    <s v="Cuevas"/>
    <x v="1"/>
    <x v="103"/>
    <x v="20"/>
    <x v="22"/>
    <x v="1"/>
    <x v="10"/>
    <x v="3"/>
    <m/>
  </r>
  <r>
    <x v="6"/>
    <d v="2026-01-04T00:00:00"/>
    <x v="5"/>
    <n v="15"/>
    <s v="Cuevas"/>
    <x v="1"/>
    <x v="103"/>
    <x v="12"/>
    <x v="7"/>
    <x v="1"/>
    <x v="6"/>
    <x v="3"/>
    <m/>
  </r>
  <r>
    <x v="6"/>
    <d v="2026-01-04T00:00:00"/>
    <x v="5"/>
    <n v="15"/>
    <s v="Cuevas"/>
    <x v="1"/>
    <x v="103"/>
    <x v="1"/>
    <x v="7"/>
    <x v="1"/>
    <x v="6"/>
    <x v="3"/>
    <m/>
  </r>
  <r>
    <x v="6"/>
    <d v="2026-01-04T00:00:00"/>
    <x v="5"/>
    <n v="15"/>
    <s v="Cuevas"/>
    <x v="1"/>
    <x v="103"/>
    <x v="1"/>
    <x v="1"/>
    <x v="3"/>
    <x v="6"/>
    <x v="3"/>
    <m/>
  </r>
  <r>
    <x v="6"/>
    <d v="2026-01-04T00:00:00"/>
    <x v="5"/>
    <n v="15"/>
    <s v="Cuevas"/>
    <x v="1"/>
    <x v="103"/>
    <x v="11"/>
    <x v="16"/>
    <x v="3"/>
    <x v="7"/>
    <x v="3"/>
    <m/>
  </r>
  <r>
    <x v="6"/>
    <d v="2026-01-04T00:00:00"/>
    <x v="5"/>
    <n v="15"/>
    <s v="Cuevas"/>
    <x v="1"/>
    <x v="103"/>
    <x v="20"/>
    <x v="16"/>
    <x v="3"/>
    <x v="7"/>
    <x v="3"/>
    <m/>
  </r>
  <r>
    <x v="6"/>
    <d v="2026-01-04T00:00:00"/>
    <x v="5"/>
    <n v="15"/>
    <s v="Cuevas"/>
    <x v="1"/>
    <x v="103"/>
    <x v="11"/>
    <x v="7"/>
    <x v="3"/>
    <x v="7"/>
    <x v="3"/>
    <m/>
  </r>
  <r>
    <x v="6"/>
    <d v="2026-01-04T00:00:00"/>
    <x v="5"/>
    <n v="15"/>
    <s v="Cuevas"/>
    <x v="1"/>
    <x v="103"/>
    <x v="8"/>
    <x v="22"/>
    <x v="3"/>
    <x v="7"/>
    <x v="3"/>
    <m/>
  </r>
  <r>
    <x v="6"/>
    <d v="2026-01-04T00:00:00"/>
    <x v="5"/>
    <n v="15"/>
    <s v="Cuevas"/>
    <x v="1"/>
    <x v="103"/>
    <x v="5"/>
    <x v="8"/>
    <x v="1"/>
    <x v="4"/>
    <x v="3"/>
    <m/>
  </r>
  <r>
    <x v="6"/>
    <d v="2026-01-04T00:00:00"/>
    <x v="5"/>
    <n v="15"/>
    <s v="Cuevas"/>
    <x v="1"/>
    <x v="103"/>
    <x v="19"/>
    <x v="16"/>
    <x v="3"/>
    <x v="4"/>
    <x v="3"/>
    <m/>
  </r>
  <r>
    <x v="6"/>
    <d v="2026-01-04T00:00:00"/>
    <x v="5"/>
    <n v="15"/>
    <s v="Cuevas"/>
    <x v="1"/>
    <x v="103"/>
    <x v="8"/>
    <x v="16"/>
    <x v="3"/>
    <x v="0"/>
    <x v="3"/>
    <m/>
  </r>
  <r>
    <x v="6"/>
    <d v="2026-01-04T00:00:00"/>
    <x v="5"/>
    <n v="15"/>
    <s v="Cuevas"/>
    <x v="1"/>
    <x v="103"/>
    <x v="1"/>
    <x v="2"/>
    <x v="1"/>
    <x v="1"/>
    <x v="3"/>
    <m/>
  </r>
  <r>
    <x v="6"/>
    <d v="2026-01-04T00:00:00"/>
    <x v="5"/>
    <n v="15"/>
    <s v="Cuevas"/>
    <x v="1"/>
    <x v="103"/>
    <x v="19"/>
    <x v="21"/>
    <x v="1"/>
    <x v="10"/>
    <x v="3"/>
    <m/>
  </r>
  <r>
    <x v="6"/>
    <d v="2026-01-04T00:00:00"/>
    <x v="5"/>
    <n v="15"/>
    <s v="Cuevas"/>
    <x v="1"/>
    <x v="103"/>
    <x v="3"/>
    <x v="14"/>
    <x v="4"/>
    <x v="2"/>
    <x v="3"/>
    <m/>
  </r>
  <r>
    <x v="6"/>
    <d v="2026-01-04T00:00:00"/>
    <x v="5"/>
    <n v="15"/>
    <s v="Cuevas"/>
    <x v="1"/>
    <x v="103"/>
    <x v="20"/>
    <x v="14"/>
    <x v="4"/>
    <x v="2"/>
    <x v="3"/>
    <m/>
  </r>
  <r>
    <x v="6"/>
    <d v="2026-01-04T00:00:00"/>
    <x v="5"/>
    <n v="15"/>
    <s v="Cuevas"/>
    <x v="1"/>
    <x v="103"/>
    <x v="5"/>
    <x v="1"/>
    <x v="1"/>
    <x v="4"/>
    <x v="3"/>
    <m/>
  </r>
  <r>
    <x v="6"/>
    <d v="2026-01-04T00:00:00"/>
    <x v="5"/>
    <n v="15"/>
    <s v="Cuevas"/>
    <x v="1"/>
    <x v="103"/>
    <x v="8"/>
    <x v="18"/>
    <x v="1"/>
    <x v="6"/>
    <x v="3"/>
    <m/>
  </r>
  <r>
    <x v="6"/>
    <d v="2026-01-04T00:00:00"/>
    <x v="5"/>
    <n v="15"/>
    <s v="Cuevas"/>
    <x v="1"/>
    <x v="103"/>
    <x v="8"/>
    <x v="7"/>
    <x v="0"/>
    <x v="7"/>
    <x v="3"/>
    <m/>
  </r>
  <r>
    <x v="6"/>
    <d v="2026-01-04T00:00:00"/>
    <x v="5"/>
    <n v="15"/>
    <s v="Cuevas"/>
    <x v="1"/>
    <x v="103"/>
    <x v="12"/>
    <x v="2"/>
    <x v="0"/>
    <x v="7"/>
    <x v="3"/>
    <m/>
  </r>
  <r>
    <x v="6"/>
    <d v="2026-01-04T00:00:00"/>
    <x v="5"/>
    <n v="15"/>
    <s v="Cuevas"/>
    <x v="1"/>
    <x v="103"/>
    <x v="0"/>
    <x v="7"/>
    <x v="1"/>
    <x v="6"/>
    <x v="3"/>
    <m/>
  </r>
  <r>
    <x v="6"/>
    <d v="2026-01-04T00:00:00"/>
    <x v="5"/>
    <n v="15"/>
    <s v="Cuevas"/>
    <x v="1"/>
    <x v="103"/>
    <x v="0"/>
    <x v="1"/>
    <x v="3"/>
    <x v="6"/>
    <x v="3"/>
    <m/>
  </r>
  <r>
    <x v="6"/>
    <d v="2026-01-04T00:00:00"/>
    <x v="5"/>
    <n v="15"/>
    <s v="Cuevas"/>
    <x v="1"/>
    <x v="103"/>
    <x v="12"/>
    <x v="7"/>
    <x v="1"/>
    <x v="6"/>
    <x v="3"/>
    <m/>
  </r>
  <r>
    <x v="6"/>
    <d v="2026-01-04T00:00:00"/>
    <x v="5"/>
    <n v="15"/>
    <s v="Cuevas"/>
    <x v="1"/>
    <x v="103"/>
    <x v="1"/>
    <x v="7"/>
    <x v="1"/>
    <x v="6"/>
    <x v="3"/>
    <m/>
  </r>
  <r>
    <x v="6"/>
    <d v="2026-01-04T00:00:00"/>
    <x v="5"/>
    <n v="15"/>
    <s v="Cuevas"/>
    <x v="1"/>
    <x v="103"/>
    <x v="0"/>
    <x v="7"/>
    <x v="1"/>
    <x v="6"/>
    <x v="3"/>
    <m/>
  </r>
  <r>
    <x v="6"/>
    <d v="2026-01-04T00:00:00"/>
    <x v="5"/>
    <n v="15"/>
    <s v="Cuevas"/>
    <x v="1"/>
    <x v="103"/>
    <x v="9"/>
    <x v="7"/>
    <x v="1"/>
    <x v="6"/>
    <x v="3"/>
    <m/>
  </r>
  <r>
    <x v="6"/>
    <d v="2026-01-04T00:00:00"/>
    <x v="5"/>
    <n v="15"/>
    <s v="Cuevas"/>
    <x v="1"/>
    <x v="103"/>
    <x v="19"/>
    <x v="14"/>
    <x v="4"/>
    <x v="2"/>
    <x v="3"/>
    <m/>
  </r>
  <r>
    <x v="6"/>
    <d v="2026-01-04T00:00:00"/>
    <x v="5"/>
    <n v="15"/>
    <s v="Cuevas"/>
    <x v="1"/>
    <x v="103"/>
    <x v="19"/>
    <x v="22"/>
    <x v="3"/>
    <x v="2"/>
    <x v="3"/>
    <m/>
  </r>
  <r>
    <x v="6"/>
    <d v="2026-01-04T00:00:00"/>
    <x v="5"/>
    <n v="15"/>
    <s v="Cuevas"/>
    <x v="1"/>
    <x v="103"/>
    <x v="12"/>
    <x v="21"/>
    <x v="1"/>
    <x v="10"/>
    <x v="3"/>
    <m/>
  </r>
  <r>
    <x v="6"/>
    <d v="2026-01-04T00:00:00"/>
    <x v="5"/>
    <n v="15"/>
    <s v="Cuevas"/>
    <x v="1"/>
    <x v="103"/>
    <x v="12"/>
    <x v="19"/>
    <x v="1"/>
    <x v="10"/>
    <x v="3"/>
    <m/>
  </r>
  <r>
    <x v="6"/>
    <d v="2026-01-04T00:00:00"/>
    <x v="5"/>
    <n v="15"/>
    <s v="Cuevas"/>
    <x v="1"/>
    <x v="103"/>
    <x v="12"/>
    <x v="6"/>
    <x v="3"/>
    <x v="7"/>
    <x v="3"/>
    <m/>
  </r>
  <r>
    <x v="6"/>
    <d v="2026-01-04T00:00:00"/>
    <x v="5"/>
    <n v="15"/>
    <s v="Cuevas"/>
    <x v="1"/>
    <x v="103"/>
    <x v="12"/>
    <x v="14"/>
    <x v="1"/>
    <x v="9"/>
    <x v="3"/>
    <m/>
  </r>
  <r>
    <x v="6"/>
    <d v="2026-01-04T00:00:00"/>
    <x v="5"/>
    <n v="15"/>
    <s v="Cuevas"/>
    <x v="1"/>
    <x v="98"/>
    <x v="8"/>
    <x v="5"/>
    <x v="0"/>
    <x v="5"/>
    <x v="3"/>
    <m/>
  </r>
  <r>
    <x v="6"/>
    <d v="2026-01-04T00:00:00"/>
    <x v="5"/>
    <n v="15"/>
    <s v="Cuevas"/>
    <x v="1"/>
    <x v="98"/>
    <x v="11"/>
    <x v="1"/>
    <x v="3"/>
    <x v="6"/>
    <x v="3"/>
    <m/>
  </r>
  <r>
    <x v="6"/>
    <d v="2026-01-04T00:00:00"/>
    <x v="5"/>
    <n v="15"/>
    <s v="Cuevas"/>
    <x v="1"/>
    <x v="98"/>
    <x v="11"/>
    <x v="18"/>
    <x v="1"/>
    <x v="6"/>
    <x v="3"/>
    <m/>
  </r>
  <r>
    <x v="6"/>
    <d v="2026-01-04T00:00:00"/>
    <x v="5"/>
    <n v="15"/>
    <s v="Cuevas"/>
    <x v="1"/>
    <x v="98"/>
    <x v="12"/>
    <x v="16"/>
    <x v="3"/>
    <x v="6"/>
    <x v="3"/>
    <m/>
  </r>
  <r>
    <x v="6"/>
    <d v="2026-01-04T00:00:00"/>
    <x v="5"/>
    <n v="15"/>
    <s v="Cuevas"/>
    <x v="1"/>
    <x v="98"/>
    <x v="0"/>
    <x v="1"/>
    <x v="3"/>
    <x v="6"/>
    <x v="3"/>
    <m/>
  </r>
  <r>
    <x v="6"/>
    <d v="2026-01-04T00:00:00"/>
    <x v="5"/>
    <n v="15"/>
    <s v="Cuevas"/>
    <x v="1"/>
    <x v="98"/>
    <x v="8"/>
    <x v="22"/>
    <x v="0"/>
    <x v="6"/>
    <x v="3"/>
    <m/>
  </r>
  <r>
    <x v="6"/>
    <d v="2026-01-04T00:00:00"/>
    <x v="5"/>
    <n v="15"/>
    <s v="Cuevas"/>
    <x v="1"/>
    <x v="98"/>
    <x v="5"/>
    <x v="1"/>
    <x v="3"/>
    <x v="6"/>
    <x v="3"/>
    <m/>
  </r>
  <r>
    <x v="6"/>
    <d v="2026-01-04T00:00:00"/>
    <x v="5"/>
    <n v="15"/>
    <s v="Cuevas"/>
    <x v="1"/>
    <x v="98"/>
    <x v="9"/>
    <x v="16"/>
    <x v="3"/>
    <x v="6"/>
    <x v="3"/>
    <m/>
  </r>
  <r>
    <x v="6"/>
    <d v="2026-01-04T00:00:00"/>
    <x v="5"/>
    <n v="15"/>
    <s v="Cuevas"/>
    <x v="1"/>
    <x v="98"/>
    <x v="19"/>
    <x v="18"/>
    <x v="1"/>
    <x v="4"/>
    <x v="3"/>
    <m/>
  </r>
  <r>
    <x v="6"/>
    <d v="2026-01-04T00:00:00"/>
    <x v="5"/>
    <n v="15"/>
    <s v="Cuevas"/>
    <x v="1"/>
    <x v="98"/>
    <x v="20"/>
    <x v="8"/>
    <x v="1"/>
    <x v="5"/>
    <x v="3"/>
    <m/>
  </r>
  <r>
    <x v="6"/>
    <d v="2026-01-04T00:00:00"/>
    <x v="5"/>
    <n v="15"/>
    <s v="Cuevas"/>
    <x v="1"/>
    <x v="98"/>
    <x v="19"/>
    <x v="16"/>
    <x v="3"/>
    <x v="4"/>
    <x v="3"/>
    <m/>
  </r>
  <r>
    <x v="6"/>
    <d v="2026-01-04T00:00:00"/>
    <x v="5"/>
    <n v="15"/>
    <s v="Cuevas"/>
    <x v="1"/>
    <x v="98"/>
    <x v="0"/>
    <x v="1"/>
    <x v="3"/>
    <x v="0"/>
    <x v="3"/>
    <m/>
  </r>
  <r>
    <x v="6"/>
    <d v="2026-01-04T00:00:00"/>
    <x v="5"/>
    <n v="15"/>
    <s v="Cuevas"/>
    <x v="1"/>
    <x v="98"/>
    <x v="1"/>
    <x v="16"/>
    <x v="2"/>
    <x v="9"/>
    <x v="3"/>
    <m/>
  </r>
  <r>
    <x v="6"/>
    <d v="2026-01-04T00:00:00"/>
    <x v="5"/>
    <n v="15"/>
    <s v="Cuevas"/>
    <x v="1"/>
    <x v="98"/>
    <x v="12"/>
    <x v="22"/>
    <x v="2"/>
    <x v="6"/>
    <x v="3"/>
    <m/>
  </r>
  <r>
    <x v="6"/>
    <d v="2026-01-04T00:00:00"/>
    <x v="5"/>
    <n v="15"/>
    <s v="Cuevas"/>
    <x v="1"/>
    <x v="98"/>
    <x v="11"/>
    <x v="23"/>
    <x v="1"/>
    <x v="7"/>
    <x v="3"/>
    <m/>
  </r>
  <r>
    <x v="6"/>
    <d v="2026-01-04T00:00:00"/>
    <x v="5"/>
    <n v="15"/>
    <s v="Cuevas"/>
    <x v="1"/>
    <x v="98"/>
    <x v="12"/>
    <x v="21"/>
    <x v="1"/>
    <x v="10"/>
    <x v="3"/>
    <m/>
  </r>
  <r>
    <x v="6"/>
    <d v="2026-01-04T00:00:00"/>
    <x v="5"/>
    <n v="15"/>
    <s v="Cuevas"/>
    <x v="1"/>
    <x v="98"/>
    <x v="11"/>
    <x v="18"/>
    <x v="5"/>
    <x v="5"/>
    <x v="3"/>
    <m/>
  </r>
  <r>
    <x v="6"/>
    <d v="2026-01-04T00:00:00"/>
    <x v="5"/>
    <n v="15"/>
    <s v="Cuevas"/>
    <x v="1"/>
    <x v="98"/>
    <x v="20"/>
    <x v="16"/>
    <x v="2"/>
    <x v="2"/>
    <x v="3"/>
    <m/>
  </r>
  <r>
    <x v="6"/>
    <d v="2026-01-04T00:00:00"/>
    <x v="5"/>
    <n v="15"/>
    <s v="Cuevas"/>
    <x v="1"/>
    <x v="98"/>
    <x v="8"/>
    <x v="22"/>
    <x v="3"/>
    <x v="9"/>
    <x v="3"/>
    <m/>
  </r>
  <r>
    <x v="6"/>
    <d v="2026-01-04T00:00:00"/>
    <x v="5"/>
    <n v="15"/>
    <s v="Cuevas"/>
    <x v="1"/>
    <x v="98"/>
    <x v="8"/>
    <x v="14"/>
    <x v="4"/>
    <x v="9"/>
    <x v="3"/>
    <m/>
  </r>
  <r>
    <x v="6"/>
    <d v="2026-01-04T00:00:00"/>
    <x v="5"/>
    <n v="15"/>
    <s v="Cuevas"/>
    <x v="1"/>
    <x v="98"/>
    <x v="1"/>
    <x v="18"/>
    <x v="1"/>
    <x v="1"/>
    <x v="3"/>
    <m/>
  </r>
  <r>
    <x v="6"/>
    <d v="2026-01-04T00:00:00"/>
    <x v="5"/>
    <n v="15"/>
    <s v="Cuevas"/>
    <x v="1"/>
    <x v="98"/>
    <x v="9"/>
    <x v="1"/>
    <x v="5"/>
    <x v="6"/>
    <x v="3"/>
    <m/>
  </r>
  <r>
    <x v="6"/>
    <d v="2026-01-04T00:00:00"/>
    <x v="5"/>
    <n v="15"/>
    <s v="Cuevas"/>
    <x v="1"/>
    <x v="98"/>
    <x v="8"/>
    <x v="16"/>
    <x v="2"/>
    <x v="7"/>
    <x v="3"/>
    <m/>
  </r>
  <r>
    <x v="6"/>
    <d v="2026-01-04T00:00:00"/>
    <x v="5"/>
    <n v="15"/>
    <s v="Cuevas"/>
    <x v="1"/>
    <x v="98"/>
    <x v="12"/>
    <x v="16"/>
    <x v="2"/>
    <x v="7"/>
    <x v="3"/>
    <m/>
  </r>
  <r>
    <x v="6"/>
    <d v="2026-01-04T00:00:00"/>
    <x v="5"/>
    <n v="15"/>
    <s v="Cuevas"/>
    <x v="1"/>
    <x v="98"/>
    <x v="1"/>
    <x v="22"/>
    <x v="5"/>
    <x v="5"/>
    <x v="3"/>
    <m/>
  </r>
  <r>
    <x v="6"/>
    <d v="2026-01-04T00:00:00"/>
    <x v="5"/>
    <n v="15"/>
    <s v="Cuevas"/>
    <x v="1"/>
    <x v="98"/>
    <x v="8"/>
    <x v="16"/>
    <x v="2"/>
    <x v="6"/>
    <x v="3"/>
    <m/>
  </r>
  <r>
    <x v="6"/>
    <d v="2026-01-04T00:00:00"/>
    <x v="5"/>
    <n v="15"/>
    <s v="Cuevas"/>
    <x v="1"/>
    <x v="98"/>
    <x v="5"/>
    <x v="16"/>
    <x v="2"/>
    <x v="6"/>
    <x v="3"/>
    <m/>
  </r>
  <r>
    <x v="6"/>
    <d v="2026-01-04T00:00:00"/>
    <x v="5"/>
    <n v="15"/>
    <s v="Cuevas"/>
    <x v="1"/>
    <x v="98"/>
    <x v="9"/>
    <x v="1"/>
    <x v="3"/>
    <x v="4"/>
    <x v="3"/>
    <m/>
  </r>
  <r>
    <x v="6"/>
    <d v="2026-01-04T00:00:00"/>
    <x v="5"/>
    <n v="15"/>
    <s v="Cuevas"/>
    <x v="1"/>
    <x v="98"/>
    <x v="9"/>
    <x v="16"/>
    <x v="3"/>
    <x v="0"/>
    <x v="3"/>
    <m/>
  </r>
  <r>
    <x v="6"/>
    <d v="2026-01-04T00:00:00"/>
    <x v="5"/>
    <n v="15"/>
    <s v="Cuevas"/>
    <x v="1"/>
    <x v="101"/>
    <x v="5"/>
    <x v="16"/>
    <x v="2"/>
    <x v="7"/>
    <x v="3"/>
    <m/>
  </r>
  <r>
    <x v="6"/>
    <d v="2026-01-04T00:00:00"/>
    <x v="5"/>
    <n v="15"/>
    <s v="Cuevas"/>
    <x v="1"/>
    <x v="101"/>
    <x v="11"/>
    <x v="16"/>
    <x v="3"/>
    <x v="7"/>
    <x v="3"/>
    <m/>
  </r>
  <r>
    <x v="6"/>
    <d v="2026-01-04T00:00:00"/>
    <x v="5"/>
    <n v="15"/>
    <s v="Cuevas"/>
    <x v="1"/>
    <x v="101"/>
    <x v="3"/>
    <x v="21"/>
    <x v="1"/>
    <x v="3"/>
    <x v="3"/>
    <m/>
  </r>
  <r>
    <x v="6"/>
    <d v="2026-01-04T00:00:00"/>
    <x v="5"/>
    <n v="15"/>
    <s v="Cuevas"/>
    <x v="1"/>
    <x v="101"/>
    <x v="5"/>
    <x v="16"/>
    <x v="3"/>
    <x v="2"/>
    <x v="3"/>
    <m/>
  </r>
  <r>
    <x v="6"/>
    <d v="2026-01-04T00:00:00"/>
    <x v="5"/>
    <n v="15"/>
    <s v="Cuevas"/>
    <x v="1"/>
    <x v="101"/>
    <x v="5"/>
    <x v="14"/>
    <x v="4"/>
    <x v="2"/>
    <x v="3"/>
    <m/>
  </r>
  <r>
    <x v="6"/>
    <d v="2026-01-04T00:00:00"/>
    <x v="5"/>
    <n v="15"/>
    <s v="Cuevas"/>
    <x v="1"/>
    <x v="101"/>
    <x v="11"/>
    <x v="16"/>
    <x v="3"/>
    <x v="6"/>
    <x v="3"/>
    <m/>
  </r>
  <r>
    <x v="6"/>
    <d v="2026-01-04T00:00:00"/>
    <x v="5"/>
    <n v="15"/>
    <s v="Cuevas"/>
    <x v="1"/>
    <x v="101"/>
    <x v="8"/>
    <x v="22"/>
    <x v="2"/>
    <x v="5"/>
    <x v="3"/>
    <m/>
  </r>
  <r>
    <x v="6"/>
    <d v="2026-01-04T00:00:00"/>
    <x v="5"/>
    <n v="15"/>
    <s v="Cuevas"/>
    <x v="1"/>
    <x v="101"/>
    <x v="1"/>
    <x v="16"/>
    <x v="3"/>
    <x v="1"/>
    <x v="3"/>
    <m/>
  </r>
  <r>
    <x v="6"/>
    <d v="2026-01-04T00:00:00"/>
    <x v="5"/>
    <n v="15"/>
    <s v="Cuevas"/>
    <x v="1"/>
    <x v="101"/>
    <x v="11"/>
    <x v="12"/>
    <x v="1"/>
    <x v="6"/>
    <x v="3"/>
    <m/>
  </r>
  <r>
    <x v="6"/>
    <d v="2026-01-04T00:00:00"/>
    <x v="5"/>
    <n v="15"/>
    <s v="Cuevas"/>
    <x v="1"/>
    <x v="101"/>
    <x v="3"/>
    <x v="17"/>
    <x v="3"/>
    <x v="2"/>
    <x v="3"/>
    <m/>
  </r>
  <r>
    <x v="6"/>
    <d v="2026-01-04T00:00:00"/>
    <x v="5"/>
    <n v="15"/>
    <s v="Cuevas"/>
    <x v="1"/>
    <x v="101"/>
    <x v="11"/>
    <x v="1"/>
    <x v="3"/>
    <x v="5"/>
    <x v="3"/>
    <m/>
  </r>
  <r>
    <x v="6"/>
    <d v="2026-01-04T00:00:00"/>
    <x v="5"/>
    <n v="15"/>
    <s v="Cuevas"/>
    <x v="1"/>
    <x v="101"/>
    <x v="20"/>
    <x v="16"/>
    <x v="3"/>
    <x v="7"/>
    <x v="3"/>
    <m/>
  </r>
  <r>
    <x v="6"/>
    <d v="2026-01-04T00:00:00"/>
    <x v="5"/>
    <n v="15"/>
    <s v="Cuevas"/>
    <x v="1"/>
    <x v="101"/>
    <x v="8"/>
    <x v="22"/>
    <x v="2"/>
    <x v="7"/>
    <x v="3"/>
    <m/>
  </r>
  <r>
    <x v="6"/>
    <d v="2026-01-04T00:00:00"/>
    <x v="5"/>
    <n v="15"/>
    <s v="Cuevas"/>
    <x v="1"/>
    <x v="101"/>
    <x v="20"/>
    <x v="16"/>
    <x v="3"/>
    <x v="0"/>
    <x v="3"/>
    <m/>
  </r>
  <r>
    <x v="6"/>
    <d v="2026-01-04T00:00:00"/>
    <x v="5"/>
    <n v="15"/>
    <s v="Cuevas"/>
    <x v="1"/>
    <x v="101"/>
    <x v="8"/>
    <x v="22"/>
    <x v="3"/>
    <x v="6"/>
    <x v="3"/>
    <m/>
  </r>
  <r>
    <x v="6"/>
    <d v="2026-01-04T00:00:00"/>
    <x v="5"/>
    <n v="15"/>
    <s v="Cuevas"/>
    <x v="1"/>
    <x v="101"/>
    <x v="8"/>
    <x v="7"/>
    <x v="1"/>
    <x v="6"/>
    <x v="3"/>
    <m/>
  </r>
  <r>
    <x v="6"/>
    <d v="2026-01-04T00:00:00"/>
    <x v="5"/>
    <n v="15"/>
    <s v="Cuevas"/>
    <x v="1"/>
    <x v="101"/>
    <x v="20"/>
    <x v="16"/>
    <x v="3"/>
    <x v="9"/>
    <x v="3"/>
    <m/>
  </r>
  <r>
    <x v="6"/>
    <d v="2026-01-04T00:00:00"/>
    <x v="5"/>
    <n v="15"/>
    <s v="Cuevas"/>
    <x v="1"/>
    <x v="101"/>
    <x v="20"/>
    <x v="12"/>
    <x v="3"/>
    <x v="9"/>
    <x v="3"/>
    <m/>
  </r>
  <r>
    <x v="6"/>
    <d v="2026-01-04T00:00:00"/>
    <x v="5"/>
    <n v="15"/>
    <s v="Cuevas"/>
    <x v="1"/>
    <x v="101"/>
    <x v="3"/>
    <x v="17"/>
    <x v="2"/>
    <x v="2"/>
    <x v="3"/>
    <m/>
  </r>
  <r>
    <x v="6"/>
    <d v="2026-01-04T00:00:00"/>
    <x v="5"/>
    <n v="15"/>
    <s v="Cuevas"/>
    <x v="1"/>
    <x v="101"/>
    <x v="12"/>
    <x v="22"/>
    <x v="3"/>
    <x v="3"/>
    <x v="3"/>
    <m/>
  </r>
  <r>
    <x v="6"/>
    <d v="2026-01-04T00:00:00"/>
    <x v="5"/>
    <n v="15"/>
    <s v="Cuevas"/>
    <x v="1"/>
    <x v="101"/>
    <x v="12"/>
    <x v="6"/>
    <x v="3"/>
    <x v="3"/>
    <x v="3"/>
    <m/>
  </r>
  <r>
    <x v="6"/>
    <d v="2026-01-04T00:00:00"/>
    <x v="5"/>
    <n v="15"/>
    <s v="Cuevas"/>
    <x v="1"/>
    <x v="101"/>
    <x v="12"/>
    <x v="11"/>
    <x v="1"/>
    <x v="2"/>
    <x v="3"/>
    <m/>
  </r>
  <r>
    <x v="6"/>
    <d v="2026-01-04T00:00:00"/>
    <x v="5"/>
    <n v="15"/>
    <s v="Cuevas"/>
    <x v="1"/>
    <x v="101"/>
    <x v="20"/>
    <x v="14"/>
    <x v="4"/>
    <x v="2"/>
    <x v="3"/>
    <m/>
  </r>
  <r>
    <x v="6"/>
    <d v="2026-01-04T00:00:00"/>
    <x v="5"/>
    <n v="15"/>
    <s v="Cuevas"/>
    <x v="1"/>
    <x v="101"/>
    <x v="20"/>
    <x v="13"/>
    <x v="1"/>
    <x v="2"/>
    <x v="3"/>
    <m/>
  </r>
  <r>
    <x v="6"/>
    <d v="2026-01-04T00:00:00"/>
    <x v="5"/>
    <n v="15"/>
    <s v="Cuevas"/>
    <x v="1"/>
    <x v="101"/>
    <x v="20"/>
    <x v="16"/>
    <x v="3"/>
    <x v="7"/>
    <x v="3"/>
    <m/>
  </r>
  <r>
    <x v="6"/>
    <d v="2026-01-04T00:00:00"/>
    <x v="5"/>
    <n v="15"/>
    <s v="Cuevas"/>
    <x v="1"/>
    <x v="101"/>
    <x v="8"/>
    <x v="22"/>
    <x v="3"/>
    <x v="7"/>
    <x v="3"/>
    <m/>
  </r>
  <r>
    <x v="6"/>
    <d v="2026-01-04T00:00:00"/>
    <x v="5"/>
    <n v="15"/>
    <s v="Cuevas"/>
    <x v="1"/>
    <x v="104"/>
    <x v="20"/>
    <x v="16"/>
    <x v="3"/>
    <x v="6"/>
    <x v="3"/>
    <m/>
  </r>
  <r>
    <x v="6"/>
    <d v="2026-01-04T00:00:00"/>
    <x v="5"/>
    <n v="15"/>
    <s v="Cuevas"/>
    <x v="1"/>
    <x v="104"/>
    <x v="1"/>
    <x v="16"/>
    <x v="3"/>
    <x v="1"/>
    <x v="3"/>
    <m/>
  </r>
  <r>
    <x v="6"/>
    <d v="2026-01-04T00:00:00"/>
    <x v="5"/>
    <n v="15"/>
    <s v="Cuevas"/>
    <x v="1"/>
    <x v="104"/>
    <x v="9"/>
    <x v="16"/>
    <x v="3"/>
    <x v="0"/>
    <x v="3"/>
    <m/>
  </r>
  <r>
    <x v="6"/>
    <d v="2026-01-04T00:00:00"/>
    <x v="5"/>
    <n v="15"/>
    <s v="Cuevas"/>
    <x v="1"/>
    <x v="104"/>
    <x v="12"/>
    <x v="22"/>
    <x v="2"/>
    <x v="6"/>
    <x v="3"/>
    <m/>
  </r>
  <r>
    <x v="6"/>
    <d v="2026-01-04T00:00:00"/>
    <x v="5"/>
    <n v="15"/>
    <s v="Cuevas"/>
    <x v="1"/>
    <x v="104"/>
    <x v="11"/>
    <x v="7"/>
    <x v="1"/>
    <x v="5"/>
    <x v="3"/>
    <m/>
  </r>
  <r>
    <x v="6"/>
    <d v="2026-01-04T00:00:00"/>
    <x v="5"/>
    <n v="15"/>
    <s v="Cuevas"/>
    <x v="1"/>
    <x v="104"/>
    <x v="8"/>
    <x v="7"/>
    <x v="1"/>
    <x v="5"/>
    <x v="3"/>
    <m/>
  </r>
  <r>
    <x v="6"/>
    <d v="2026-01-04T00:00:00"/>
    <x v="5"/>
    <n v="15"/>
    <s v="Cuevas"/>
    <x v="1"/>
    <x v="104"/>
    <x v="11"/>
    <x v="1"/>
    <x v="0"/>
    <x v="6"/>
    <x v="3"/>
    <m/>
  </r>
  <r>
    <x v="6"/>
    <d v="2026-01-04T00:00:00"/>
    <x v="5"/>
    <n v="15"/>
    <s v="Cuevas"/>
    <x v="1"/>
    <x v="104"/>
    <x v="8"/>
    <x v="1"/>
    <x v="0"/>
    <x v="6"/>
    <x v="3"/>
    <m/>
  </r>
  <r>
    <x v="6"/>
    <d v="2026-01-04T00:00:00"/>
    <x v="5"/>
    <n v="15"/>
    <s v="Cuevas"/>
    <x v="1"/>
    <x v="104"/>
    <x v="12"/>
    <x v="1"/>
    <x v="0"/>
    <x v="6"/>
    <x v="3"/>
    <m/>
  </r>
  <r>
    <x v="6"/>
    <d v="2026-01-04T00:00:00"/>
    <x v="5"/>
    <n v="15"/>
    <s v="Cuevas"/>
    <x v="1"/>
    <x v="104"/>
    <x v="20"/>
    <x v="16"/>
    <x v="3"/>
    <x v="7"/>
    <x v="3"/>
    <m/>
  </r>
  <r>
    <x v="6"/>
    <d v="2026-01-04T00:00:00"/>
    <x v="5"/>
    <n v="15"/>
    <s v="Cuevas"/>
    <x v="1"/>
    <x v="104"/>
    <x v="19"/>
    <x v="16"/>
    <x v="3"/>
    <x v="6"/>
    <x v="3"/>
    <m/>
  </r>
  <r>
    <x v="6"/>
    <d v="2026-01-04T00:00:00"/>
    <x v="5"/>
    <n v="15"/>
    <s v="Cuevas"/>
    <x v="1"/>
    <x v="104"/>
    <x v="8"/>
    <x v="22"/>
    <x v="0"/>
    <x v="7"/>
    <x v="3"/>
    <m/>
  </r>
  <r>
    <x v="6"/>
    <d v="2026-01-04T00:00:00"/>
    <x v="5"/>
    <n v="15"/>
    <s v="Cuevas"/>
    <x v="1"/>
    <x v="104"/>
    <x v="0"/>
    <x v="1"/>
    <x v="3"/>
    <x v="0"/>
    <x v="3"/>
    <m/>
  </r>
  <r>
    <x v="6"/>
    <d v="2026-01-04T00:00:00"/>
    <x v="5"/>
    <n v="15"/>
    <s v="Cuevas"/>
    <x v="1"/>
    <x v="104"/>
    <x v="5"/>
    <x v="8"/>
    <x v="1"/>
    <x v="6"/>
    <x v="3"/>
    <m/>
  </r>
  <r>
    <x v="6"/>
    <d v="2026-01-04T00:00:00"/>
    <x v="5"/>
    <n v="15"/>
    <s v="Cuevas"/>
    <x v="1"/>
    <x v="104"/>
    <x v="5"/>
    <x v="5"/>
    <x v="0"/>
    <x v="6"/>
    <x v="3"/>
    <m/>
  </r>
  <r>
    <x v="6"/>
    <d v="2026-01-04T00:00:00"/>
    <x v="5"/>
    <n v="15"/>
    <s v="Cuevas"/>
    <x v="1"/>
    <x v="104"/>
    <x v="16"/>
    <x v="16"/>
    <x v="3"/>
    <x v="6"/>
    <x v="3"/>
    <m/>
  </r>
  <r>
    <x v="6"/>
    <d v="2026-01-04T00:00:00"/>
    <x v="5"/>
    <n v="15"/>
    <s v="Cuevas"/>
    <x v="1"/>
    <x v="104"/>
    <x v="20"/>
    <x v="16"/>
    <x v="3"/>
    <x v="7"/>
    <x v="3"/>
    <m/>
  </r>
  <r>
    <x v="6"/>
    <d v="2026-01-04T00:00:00"/>
    <x v="5"/>
    <n v="15"/>
    <s v="Cuevas"/>
    <x v="1"/>
    <x v="104"/>
    <x v="20"/>
    <x v="22"/>
    <x v="0"/>
    <x v="7"/>
    <x v="3"/>
    <m/>
  </r>
  <r>
    <x v="6"/>
    <d v="2026-01-04T00:00:00"/>
    <x v="5"/>
    <n v="15"/>
    <s v="Cuevas"/>
    <x v="1"/>
    <x v="104"/>
    <x v="20"/>
    <x v="7"/>
    <x v="0"/>
    <x v="7"/>
    <x v="3"/>
    <m/>
  </r>
  <r>
    <x v="6"/>
    <d v="2026-01-04T00:00:00"/>
    <x v="5"/>
    <n v="15"/>
    <s v="Cuevas"/>
    <x v="1"/>
    <x v="104"/>
    <x v="22"/>
    <x v="1"/>
    <x v="0"/>
    <x v="6"/>
    <x v="3"/>
    <m/>
  </r>
  <r>
    <x v="6"/>
    <d v="2026-01-04T00:00:00"/>
    <x v="5"/>
    <n v="15"/>
    <s v="Cuevas"/>
    <x v="1"/>
    <x v="104"/>
    <x v="22"/>
    <x v="16"/>
    <x v="3"/>
    <x v="10"/>
    <x v="3"/>
    <m/>
  </r>
  <r>
    <x v="6"/>
    <d v="2026-01-04T00:00:00"/>
    <x v="5"/>
    <n v="15"/>
    <s v="Cuevas"/>
    <x v="1"/>
    <x v="104"/>
    <x v="8"/>
    <x v="22"/>
    <x v="0"/>
    <x v="10"/>
    <x v="3"/>
    <m/>
  </r>
  <r>
    <x v="6"/>
    <d v="2026-01-04T00:00:00"/>
    <x v="5"/>
    <n v="15"/>
    <s v="Cuevas"/>
    <x v="1"/>
    <x v="104"/>
    <x v="0"/>
    <x v="1"/>
    <x v="3"/>
    <x v="0"/>
    <x v="3"/>
    <m/>
  </r>
  <r>
    <x v="6"/>
    <d v="2026-01-04T00:00:00"/>
    <x v="5"/>
    <n v="15"/>
    <s v="Cuevas"/>
    <x v="1"/>
    <x v="104"/>
    <x v="16"/>
    <x v="7"/>
    <x v="0"/>
    <x v="6"/>
    <x v="3"/>
    <m/>
  </r>
  <r>
    <x v="6"/>
    <d v="2026-01-04T00:00:00"/>
    <x v="5"/>
    <n v="15"/>
    <s v="Cuevas"/>
    <x v="1"/>
    <x v="104"/>
    <x v="11"/>
    <x v="1"/>
    <x v="0"/>
    <x v="6"/>
    <x v="3"/>
    <m/>
  </r>
  <r>
    <x v="6"/>
    <d v="2026-01-04T00:00:00"/>
    <x v="5"/>
    <n v="15"/>
    <s v="Cuevas"/>
    <x v="1"/>
    <x v="104"/>
    <x v="0"/>
    <x v="7"/>
    <x v="1"/>
    <x v="6"/>
    <x v="3"/>
    <m/>
  </r>
  <r>
    <x v="6"/>
    <d v="2026-01-04T00:00:00"/>
    <x v="5"/>
    <n v="15"/>
    <s v="Cuevas"/>
    <x v="1"/>
    <x v="104"/>
    <x v="22"/>
    <x v="1"/>
    <x v="3"/>
    <x v="6"/>
    <x v="3"/>
    <m/>
  </r>
  <r>
    <x v="6"/>
    <d v="2026-01-04T00:00:00"/>
    <x v="5"/>
    <n v="15"/>
    <s v="Cuevas"/>
    <x v="1"/>
    <x v="104"/>
    <x v="22"/>
    <x v="8"/>
    <x v="1"/>
    <x v="6"/>
    <x v="3"/>
    <m/>
  </r>
  <r>
    <x v="6"/>
    <d v="2026-01-04T00:00:00"/>
    <x v="5"/>
    <n v="15"/>
    <s v="Cuevas"/>
    <x v="1"/>
    <x v="104"/>
    <x v="22"/>
    <x v="16"/>
    <x v="2"/>
    <x v="6"/>
    <x v="3"/>
    <m/>
  </r>
  <r>
    <x v="6"/>
    <d v="2026-01-04T00:00:00"/>
    <x v="5"/>
    <n v="15"/>
    <s v="Cuevas"/>
    <x v="1"/>
    <x v="104"/>
    <x v="19"/>
    <x v="22"/>
    <x v="1"/>
    <x v="4"/>
    <x v="3"/>
    <m/>
  </r>
  <r>
    <x v="6"/>
    <d v="2026-01-04T00:00:00"/>
    <x v="5"/>
    <n v="15"/>
    <s v="Cuevas"/>
    <x v="1"/>
    <x v="104"/>
    <x v="19"/>
    <x v="7"/>
    <x v="1"/>
    <x v="4"/>
    <x v="3"/>
    <m/>
  </r>
  <r>
    <x v="6"/>
    <d v="2026-01-04T00:00:00"/>
    <x v="5"/>
    <n v="15"/>
    <s v="Cuevas"/>
    <x v="1"/>
    <x v="104"/>
    <x v="2"/>
    <x v="6"/>
    <x v="0"/>
    <x v="10"/>
    <x v="3"/>
    <m/>
  </r>
  <r>
    <x v="6"/>
    <d v="2026-01-04T00:00:00"/>
    <x v="5"/>
    <n v="15"/>
    <s v="Cuevas"/>
    <x v="1"/>
    <x v="104"/>
    <x v="8"/>
    <x v="17"/>
    <x v="3"/>
    <x v="7"/>
    <x v="3"/>
    <m/>
  </r>
  <r>
    <x v="6"/>
    <d v="2026-01-04T00:00:00"/>
    <x v="5"/>
    <n v="15"/>
    <s v="Cuevas"/>
    <x v="1"/>
    <x v="104"/>
    <x v="8"/>
    <x v="7"/>
    <x v="1"/>
    <x v="7"/>
    <x v="3"/>
    <m/>
  </r>
  <r>
    <x v="6"/>
    <d v="2026-01-04T00:00:00"/>
    <x v="5"/>
    <n v="15"/>
    <s v="Cuevas"/>
    <x v="1"/>
    <x v="104"/>
    <x v="22"/>
    <x v="16"/>
    <x v="3"/>
    <x v="4"/>
    <x v="3"/>
    <m/>
  </r>
  <r>
    <x v="6"/>
    <d v="2026-01-04T00:00:00"/>
    <x v="5"/>
    <n v="15"/>
    <s v="Cuevas"/>
    <x v="1"/>
    <x v="104"/>
    <x v="11"/>
    <x v="1"/>
    <x v="3"/>
    <x v="6"/>
    <x v="3"/>
    <m/>
  </r>
  <r>
    <x v="6"/>
    <d v="2026-01-04T00:00:00"/>
    <x v="5"/>
    <n v="15"/>
    <s v="Cuevas"/>
    <x v="1"/>
    <x v="104"/>
    <x v="19"/>
    <x v="16"/>
    <x v="3"/>
    <x v="4"/>
    <x v="3"/>
    <m/>
  </r>
  <r>
    <x v="6"/>
    <d v="2026-01-04T00:00:00"/>
    <x v="5"/>
    <n v="15"/>
    <s v="Cuevas"/>
    <x v="1"/>
    <x v="104"/>
    <x v="2"/>
    <x v="17"/>
    <x v="3"/>
    <x v="5"/>
    <x v="3"/>
    <m/>
  </r>
  <r>
    <x v="6"/>
    <d v="2026-01-04T00:00:00"/>
    <x v="5"/>
    <n v="15"/>
    <s v="Cuevas"/>
    <x v="1"/>
    <x v="104"/>
    <x v="2"/>
    <x v="17"/>
    <x v="3"/>
    <x v="2"/>
    <x v="3"/>
    <m/>
  </r>
  <r>
    <x v="6"/>
    <d v="2026-01-04T00:00:00"/>
    <x v="5"/>
    <n v="15"/>
    <s v="Cuevas"/>
    <x v="1"/>
    <x v="104"/>
    <x v="16"/>
    <x v="16"/>
    <x v="3"/>
    <x v="5"/>
    <x v="3"/>
    <m/>
  </r>
  <r>
    <x v="6"/>
    <d v="2026-01-04T00:00:00"/>
    <x v="5"/>
    <n v="15"/>
    <s v="Cuevas"/>
    <x v="1"/>
    <x v="104"/>
    <x v="11"/>
    <x v="22"/>
    <x v="3"/>
    <x v="5"/>
    <x v="3"/>
    <m/>
  </r>
  <r>
    <x v="6"/>
    <d v="2026-01-04T00:00:00"/>
    <x v="5"/>
    <n v="15"/>
    <s v="Cuevas"/>
    <x v="1"/>
    <x v="104"/>
    <x v="2"/>
    <x v="16"/>
    <x v="3"/>
    <x v="7"/>
    <x v="3"/>
    <m/>
  </r>
  <r>
    <x v="6"/>
    <d v="2026-01-04T00:00:00"/>
    <x v="5"/>
    <n v="15"/>
    <s v="Cuevas"/>
    <x v="1"/>
    <x v="104"/>
    <x v="8"/>
    <x v="14"/>
    <x v="4"/>
    <x v="7"/>
    <x v="3"/>
    <m/>
  </r>
  <r>
    <x v="6"/>
    <d v="2026-01-04T00:00:00"/>
    <x v="5"/>
    <n v="15"/>
    <s v="Cuevas"/>
    <x v="1"/>
    <x v="104"/>
    <x v="11"/>
    <x v="16"/>
    <x v="3"/>
    <x v="9"/>
    <x v="3"/>
    <m/>
  </r>
  <r>
    <x v="6"/>
    <d v="2026-01-04T00:00:00"/>
    <x v="5"/>
    <n v="15"/>
    <s v="Cuevas"/>
    <x v="1"/>
    <x v="104"/>
    <x v="11"/>
    <x v="1"/>
    <x v="3"/>
    <x v="9"/>
    <x v="3"/>
    <m/>
  </r>
  <r>
    <x v="6"/>
    <d v="2026-01-04T00:00:00"/>
    <x v="5"/>
    <n v="15"/>
    <s v="Cuevas"/>
    <x v="1"/>
    <x v="104"/>
    <x v="9"/>
    <x v="16"/>
    <x v="3"/>
    <x v="0"/>
    <x v="3"/>
    <m/>
  </r>
  <r>
    <x v="6"/>
    <d v="2026-01-04T00:00:00"/>
    <x v="5"/>
    <n v="15"/>
    <s v="Cuevas"/>
    <x v="1"/>
    <x v="104"/>
    <x v="23"/>
    <x v="20"/>
    <x v="5"/>
    <x v="11"/>
    <x v="3"/>
    <m/>
  </r>
  <r>
    <x v="6"/>
    <d v="2026-01-04T00:00:00"/>
    <x v="5"/>
    <n v="15"/>
    <s v="Cuevas"/>
    <x v="1"/>
    <x v="104"/>
    <x v="23"/>
    <x v="20"/>
    <x v="5"/>
    <x v="11"/>
    <x v="3"/>
    <m/>
  </r>
  <r>
    <x v="7"/>
    <d v="2026-01-11T00:00:00"/>
    <x v="6"/>
    <n v="15"/>
    <s v="CAÑA CHAQUETA"/>
    <x v="1"/>
    <x v="97"/>
    <x v="11"/>
    <x v="17"/>
    <x v="3"/>
    <x v="14"/>
    <x v="3"/>
    <m/>
  </r>
  <r>
    <x v="7"/>
    <d v="2026-01-11T00:00:00"/>
    <x v="6"/>
    <n v="15"/>
    <s v="CAÑA CHAQUETA"/>
    <x v="1"/>
    <x v="97"/>
    <x v="11"/>
    <x v="17"/>
    <x v="3"/>
    <x v="14"/>
    <x v="3"/>
    <m/>
  </r>
  <r>
    <x v="7"/>
    <d v="2026-01-11T00:00:00"/>
    <x v="6"/>
    <n v="15"/>
    <s v="CAÑA CHAQUETA"/>
    <x v="1"/>
    <x v="97"/>
    <x v="11"/>
    <x v="17"/>
    <x v="3"/>
    <x v="14"/>
    <x v="3"/>
    <m/>
  </r>
  <r>
    <x v="7"/>
    <d v="2026-01-11T00:00:00"/>
    <x v="6"/>
    <n v="15"/>
    <s v="CAÑA CHAQUETA"/>
    <x v="1"/>
    <x v="97"/>
    <x v="20"/>
    <x v="17"/>
    <x v="2"/>
    <x v="15"/>
    <x v="3"/>
    <m/>
  </r>
  <r>
    <x v="7"/>
    <d v="2026-01-11T00:00:00"/>
    <x v="6"/>
    <n v="15"/>
    <s v="CAÑA CHAQUETA"/>
    <x v="1"/>
    <x v="97"/>
    <x v="1"/>
    <x v="24"/>
    <x v="2"/>
    <x v="16"/>
    <x v="3"/>
    <m/>
  </r>
  <r>
    <x v="7"/>
    <d v="2026-01-11T00:00:00"/>
    <x v="6"/>
    <n v="15"/>
    <s v="CAÑA CHAQUETA"/>
    <x v="1"/>
    <x v="97"/>
    <x v="12"/>
    <x v="24"/>
    <x v="5"/>
    <x v="17"/>
    <x v="3"/>
    <m/>
  </r>
  <r>
    <x v="7"/>
    <d v="2026-01-11T00:00:00"/>
    <x v="6"/>
    <n v="15"/>
    <s v="CAÑA CHAQUETA"/>
    <x v="1"/>
    <x v="97"/>
    <x v="11"/>
    <x v="17"/>
    <x v="3"/>
    <x v="14"/>
    <x v="3"/>
    <m/>
  </r>
  <r>
    <x v="7"/>
    <d v="2026-01-11T00:00:00"/>
    <x v="6"/>
    <n v="15"/>
    <s v="CAÑA CHAQUETA"/>
    <x v="1"/>
    <x v="97"/>
    <x v="0"/>
    <x v="17"/>
    <x v="3"/>
    <x v="14"/>
    <x v="3"/>
    <m/>
  </r>
  <r>
    <x v="7"/>
    <d v="2026-01-11T00:00:00"/>
    <x v="6"/>
    <n v="15"/>
    <s v="CAÑA CHAQUETA"/>
    <x v="1"/>
    <x v="97"/>
    <x v="20"/>
    <x v="25"/>
    <x v="3"/>
    <x v="15"/>
    <x v="3"/>
    <m/>
  </r>
  <r>
    <x v="7"/>
    <d v="2026-01-11T00:00:00"/>
    <x v="6"/>
    <n v="15"/>
    <s v="CAÑA CHAQUETA"/>
    <x v="1"/>
    <x v="97"/>
    <x v="19"/>
    <x v="17"/>
    <x v="3"/>
    <x v="18"/>
    <x v="3"/>
    <m/>
  </r>
  <r>
    <x v="7"/>
    <d v="2026-01-11T00:00:00"/>
    <x v="6"/>
    <n v="15"/>
    <s v="CAÑA CHAQUETA"/>
    <x v="1"/>
    <x v="97"/>
    <x v="8"/>
    <x v="8"/>
    <x v="3"/>
    <x v="19"/>
    <x v="3"/>
    <m/>
  </r>
  <r>
    <x v="7"/>
    <d v="2026-01-11T00:00:00"/>
    <x v="6"/>
    <n v="15"/>
    <s v="CAÑA CHAQUETA"/>
    <x v="1"/>
    <x v="97"/>
    <x v="12"/>
    <x v="17"/>
    <x v="3"/>
    <x v="14"/>
    <x v="3"/>
    <m/>
  </r>
  <r>
    <x v="7"/>
    <d v="2026-01-11T00:00:00"/>
    <x v="6"/>
    <n v="15"/>
    <s v="CAÑA CHAQUETA"/>
    <x v="1"/>
    <x v="97"/>
    <x v="0"/>
    <x v="26"/>
    <x v="3"/>
    <x v="20"/>
    <x v="3"/>
    <m/>
  </r>
  <r>
    <x v="7"/>
    <d v="2026-01-11T00:00:00"/>
    <x v="6"/>
    <n v="15"/>
    <s v="CAÑA CHAQUETA"/>
    <x v="1"/>
    <x v="97"/>
    <x v="19"/>
    <x v="17"/>
    <x v="3"/>
    <x v="18"/>
    <x v="3"/>
    <m/>
  </r>
  <r>
    <x v="7"/>
    <d v="2026-01-11T00:00:00"/>
    <x v="6"/>
    <n v="15"/>
    <s v="CAÑA CHAQUETA"/>
    <x v="1"/>
    <x v="97"/>
    <x v="11"/>
    <x v="25"/>
    <x v="2"/>
    <x v="20"/>
    <x v="3"/>
    <m/>
  </r>
  <r>
    <x v="7"/>
    <d v="2026-01-11T00:00:00"/>
    <x v="6"/>
    <n v="15"/>
    <s v="CAÑA CHAQUETA"/>
    <x v="1"/>
    <x v="97"/>
    <x v="13"/>
    <x v="8"/>
    <x v="2"/>
    <x v="21"/>
    <x v="3"/>
    <m/>
  </r>
  <r>
    <x v="7"/>
    <d v="2026-01-11T00:00:00"/>
    <x v="6"/>
    <n v="15"/>
    <s v="CAÑA CHAQUETA"/>
    <x v="1"/>
    <x v="97"/>
    <x v="11"/>
    <x v="17"/>
    <x v="3"/>
    <x v="20"/>
    <x v="3"/>
    <m/>
  </r>
  <r>
    <x v="7"/>
    <d v="2026-01-11T00:00:00"/>
    <x v="6"/>
    <n v="15"/>
    <s v="CAÑA CHAQUETA"/>
    <x v="1"/>
    <x v="97"/>
    <x v="11"/>
    <x v="17"/>
    <x v="3"/>
    <x v="20"/>
    <x v="3"/>
    <m/>
  </r>
  <r>
    <x v="7"/>
    <d v="2026-01-11T00:00:00"/>
    <x v="6"/>
    <n v="15"/>
    <s v="CAÑA CHAQUETA"/>
    <x v="1"/>
    <x v="97"/>
    <x v="11"/>
    <x v="17"/>
    <x v="3"/>
    <x v="20"/>
    <x v="3"/>
    <m/>
  </r>
  <r>
    <x v="7"/>
    <d v="2026-01-11T00:00:00"/>
    <x v="6"/>
    <n v="15"/>
    <s v="CAÑA CHAQUETA"/>
    <x v="1"/>
    <x v="97"/>
    <x v="12"/>
    <x v="17"/>
    <x v="3"/>
    <x v="20"/>
    <x v="3"/>
    <m/>
  </r>
  <r>
    <x v="7"/>
    <d v="2026-01-11T00:00:00"/>
    <x v="6"/>
    <n v="15"/>
    <s v="CAÑA CHAQUETA"/>
    <x v="1"/>
    <x v="97"/>
    <x v="11"/>
    <x v="26"/>
    <x v="3"/>
    <x v="14"/>
    <x v="3"/>
    <m/>
  </r>
  <r>
    <x v="7"/>
    <d v="2026-01-11T00:00:00"/>
    <x v="6"/>
    <n v="15"/>
    <s v="CAÑA CHAQUETA"/>
    <x v="1"/>
    <x v="97"/>
    <x v="12"/>
    <x v="17"/>
    <x v="3"/>
    <x v="16"/>
    <x v="3"/>
    <m/>
  </r>
  <r>
    <x v="7"/>
    <d v="2026-01-11T00:00:00"/>
    <x v="6"/>
    <n v="15"/>
    <s v="CAÑA CHAQUETA"/>
    <x v="1"/>
    <x v="97"/>
    <x v="11"/>
    <x v="24"/>
    <x v="3"/>
    <x v="14"/>
    <x v="3"/>
    <m/>
  </r>
  <r>
    <x v="7"/>
    <d v="2026-01-11T00:00:00"/>
    <x v="6"/>
    <n v="15"/>
    <s v="CAÑA CHAQUETA"/>
    <x v="1"/>
    <x v="97"/>
    <x v="12"/>
    <x v="21"/>
    <x v="2"/>
    <x v="19"/>
    <x v="3"/>
    <m/>
  </r>
  <r>
    <x v="7"/>
    <d v="2026-01-11T00:00:00"/>
    <x v="6"/>
    <n v="15"/>
    <s v="CAÑA CHAQUETA"/>
    <x v="1"/>
    <x v="97"/>
    <x v="12"/>
    <x v="17"/>
    <x v="2"/>
    <x v="16"/>
    <x v="3"/>
    <m/>
  </r>
  <r>
    <x v="7"/>
    <d v="2026-01-11T00:00:00"/>
    <x v="6"/>
    <n v="15"/>
    <s v="CAÑA CHAQUETA"/>
    <x v="1"/>
    <x v="97"/>
    <x v="8"/>
    <x v="25"/>
    <x v="3"/>
    <x v="17"/>
    <x v="3"/>
    <m/>
  </r>
  <r>
    <x v="7"/>
    <d v="2026-01-11T00:00:00"/>
    <x v="6"/>
    <n v="15"/>
    <s v="CAÑA CHAQUETA"/>
    <x v="1"/>
    <x v="97"/>
    <x v="8"/>
    <x v="27"/>
    <x v="2"/>
    <x v="14"/>
    <x v="3"/>
    <m/>
  </r>
  <r>
    <x v="7"/>
    <d v="2026-01-11T00:00:00"/>
    <x v="6"/>
    <n v="15"/>
    <s v="CAÑA CHAQUETA"/>
    <x v="1"/>
    <x v="100"/>
    <x v="9"/>
    <x v="28"/>
    <x v="2"/>
    <x v="22"/>
    <x v="3"/>
    <m/>
  </r>
  <r>
    <x v="7"/>
    <d v="2026-01-11T00:00:00"/>
    <x v="6"/>
    <n v="15"/>
    <s v="CAÑA CHAQUETA"/>
    <x v="1"/>
    <x v="100"/>
    <x v="1"/>
    <x v="17"/>
    <x v="2"/>
    <x v="16"/>
    <x v="3"/>
    <m/>
  </r>
  <r>
    <x v="7"/>
    <d v="2026-01-11T00:00:00"/>
    <x v="6"/>
    <n v="15"/>
    <s v="CAÑA CHAQUETA"/>
    <x v="1"/>
    <x v="100"/>
    <x v="0"/>
    <x v="17"/>
    <x v="3"/>
    <x v="14"/>
    <x v="3"/>
    <m/>
  </r>
  <r>
    <x v="7"/>
    <d v="2026-01-11T00:00:00"/>
    <x v="6"/>
    <n v="15"/>
    <s v="CAÑA CHAQUETA"/>
    <x v="1"/>
    <x v="100"/>
    <x v="9"/>
    <x v="17"/>
    <x v="3"/>
    <x v="14"/>
    <x v="3"/>
    <m/>
  </r>
  <r>
    <x v="7"/>
    <d v="2026-01-11T00:00:00"/>
    <x v="6"/>
    <n v="15"/>
    <s v="CAÑA CHAQUETA"/>
    <x v="1"/>
    <x v="100"/>
    <x v="12"/>
    <x v="25"/>
    <x v="2"/>
    <x v="14"/>
    <x v="3"/>
    <m/>
  </r>
  <r>
    <x v="7"/>
    <d v="2026-01-11T00:00:00"/>
    <x v="6"/>
    <n v="15"/>
    <s v="CAÑA CHAQUETA"/>
    <x v="1"/>
    <x v="100"/>
    <x v="11"/>
    <x v="17"/>
    <x v="3"/>
    <x v="20"/>
    <x v="3"/>
    <m/>
  </r>
  <r>
    <x v="7"/>
    <d v="2026-01-11T00:00:00"/>
    <x v="6"/>
    <n v="15"/>
    <s v="CAÑA CHAQUETA"/>
    <x v="1"/>
    <x v="100"/>
    <x v="12"/>
    <x v="17"/>
    <x v="2"/>
    <x v="14"/>
    <x v="3"/>
    <m/>
  </r>
  <r>
    <x v="7"/>
    <d v="2026-01-11T00:00:00"/>
    <x v="6"/>
    <n v="15"/>
    <s v="CAÑA CHAQUETA"/>
    <x v="1"/>
    <x v="100"/>
    <x v="11"/>
    <x v="25"/>
    <x v="2"/>
    <x v="18"/>
    <x v="3"/>
    <m/>
  </r>
  <r>
    <x v="7"/>
    <d v="2026-01-11T00:00:00"/>
    <x v="6"/>
    <n v="15"/>
    <s v="CAÑA CHAQUETA"/>
    <x v="1"/>
    <x v="100"/>
    <x v="9"/>
    <x v="27"/>
    <x v="3"/>
    <x v="18"/>
    <x v="3"/>
    <m/>
  </r>
  <r>
    <x v="7"/>
    <d v="2026-01-11T00:00:00"/>
    <x v="6"/>
    <n v="15"/>
    <s v="CAÑA CHAQUETA"/>
    <x v="1"/>
    <x v="100"/>
    <x v="20"/>
    <x v="17"/>
    <x v="2"/>
    <x v="15"/>
    <x v="3"/>
    <m/>
  </r>
  <r>
    <x v="7"/>
    <d v="2026-01-11T00:00:00"/>
    <x v="6"/>
    <n v="15"/>
    <s v="CAÑA CHAQUETA"/>
    <x v="1"/>
    <x v="100"/>
    <x v="8"/>
    <x v="17"/>
    <x v="3"/>
    <x v="14"/>
    <x v="3"/>
    <m/>
  </r>
  <r>
    <x v="7"/>
    <d v="2026-01-11T00:00:00"/>
    <x v="6"/>
    <n v="15"/>
    <s v="CAÑA CHAQUETA"/>
    <x v="1"/>
    <x v="100"/>
    <x v="13"/>
    <x v="17"/>
    <x v="3"/>
    <x v="14"/>
    <x v="3"/>
    <m/>
  </r>
  <r>
    <x v="7"/>
    <d v="2026-01-11T00:00:00"/>
    <x v="6"/>
    <n v="15"/>
    <s v="CAÑA CHAQUETA"/>
    <x v="1"/>
    <x v="100"/>
    <x v="9"/>
    <x v="17"/>
    <x v="3"/>
    <x v="14"/>
    <x v="3"/>
    <m/>
  </r>
  <r>
    <x v="7"/>
    <d v="2026-01-11T00:00:00"/>
    <x v="6"/>
    <n v="15"/>
    <s v="CAÑA CHAQUETA"/>
    <x v="1"/>
    <x v="100"/>
    <x v="13"/>
    <x v="17"/>
    <x v="3"/>
    <x v="20"/>
    <x v="3"/>
    <m/>
  </r>
  <r>
    <x v="7"/>
    <d v="2026-01-11T00:00:00"/>
    <x v="6"/>
    <n v="15"/>
    <s v="CAÑA CHAQUETA"/>
    <x v="1"/>
    <x v="100"/>
    <x v="12"/>
    <x v="17"/>
    <x v="2"/>
    <x v="14"/>
    <x v="3"/>
    <m/>
  </r>
  <r>
    <x v="7"/>
    <d v="2026-01-11T00:00:00"/>
    <x v="6"/>
    <n v="15"/>
    <s v="CAÑA CHAQUETA"/>
    <x v="1"/>
    <x v="100"/>
    <x v="11"/>
    <x v="17"/>
    <x v="2"/>
    <x v="14"/>
    <x v="3"/>
    <m/>
  </r>
  <r>
    <x v="7"/>
    <d v="2026-01-11T00:00:00"/>
    <x v="6"/>
    <n v="15"/>
    <s v="CAÑA CHAQUETA"/>
    <x v="1"/>
    <x v="100"/>
    <x v="13"/>
    <x v="26"/>
    <x v="3"/>
    <x v="14"/>
    <x v="3"/>
    <m/>
  </r>
  <r>
    <x v="7"/>
    <d v="2026-01-11T00:00:00"/>
    <x v="6"/>
    <n v="15"/>
    <s v="CAÑA CHAQUETA"/>
    <x v="1"/>
    <x v="100"/>
    <x v="9"/>
    <x v="17"/>
    <x v="3"/>
    <x v="21"/>
    <x v="3"/>
    <m/>
  </r>
  <r>
    <x v="7"/>
    <d v="2026-01-11T00:00:00"/>
    <x v="6"/>
    <n v="15"/>
    <s v="CAÑA CHAQUETA"/>
    <x v="1"/>
    <x v="100"/>
    <x v="20"/>
    <x v="29"/>
    <x v="2"/>
    <x v="22"/>
    <x v="3"/>
    <m/>
  </r>
  <r>
    <x v="7"/>
    <d v="2026-01-11T00:00:00"/>
    <x v="6"/>
    <n v="15"/>
    <s v="CAÑA CHAQUETA"/>
    <x v="1"/>
    <x v="100"/>
    <x v="20"/>
    <x v="17"/>
    <x v="2"/>
    <x v="21"/>
    <x v="3"/>
    <m/>
  </r>
  <r>
    <x v="7"/>
    <d v="2026-01-11T00:00:00"/>
    <x v="6"/>
    <n v="15"/>
    <s v="CAÑA CHAQUETA"/>
    <x v="1"/>
    <x v="100"/>
    <x v="12"/>
    <x v="25"/>
    <x v="2"/>
    <x v="14"/>
    <x v="3"/>
    <m/>
  </r>
  <r>
    <x v="7"/>
    <d v="2026-01-11T00:00:00"/>
    <x v="6"/>
    <n v="15"/>
    <s v="CAÑA CHAQUETA"/>
    <x v="1"/>
    <x v="100"/>
    <x v="12"/>
    <x v="24"/>
    <x v="3"/>
    <x v="14"/>
    <x v="3"/>
    <m/>
  </r>
  <r>
    <x v="7"/>
    <d v="2026-01-11T00:00:00"/>
    <x v="6"/>
    <n v="15"/>
    <s v="CAÑA CHAQUETA"/>
    <x v="1"/>
    <x v="100"/>
    <x v="9"/>
    <x v="24"/>
    <x v="2"/>
    <x v="21"/>
    <x v="3"/>
    <m/>
  </r>
  <r>
    <x v="7"/>
    <d v="2026-01-11T00:00:00"/>
    <x v="6"/>
    <n v="15"/>
    <s v="CAÑA CHAQUETA"/>
    <x v="1"/>
    <x v="100"/>
    <x v="9"/>
    <x v="17"/>
    <x v="2"/>
    <x v="18"/>
    <x v="3"/>
    <m/>
  </r>
  <r>
    <x v="7"/>
    <d v="2026-01-11T00:00:00"/>
    <x v="6"/>
    <n v="15"/>
    <s v="CAÑA CHAQUETA"/>
    <x v="1"/>
    <x v="100"/>
    <x v="11"/>
    <x v="17"/>
    <x v="2"/>
    <x v="18"/>
    <x v="3"/>
    <m/>
  </r>
  <r>
    <x v="7"/>
    <d v="2026-01-11T00:00:00"/>
    <x v="6"/>
    <n v="15"/>
    <s v="CAÑA CHAQUETA"/>
    <x v="1"/>
    <x v="100"/>
    <x v="1"/>
    <x v="17"/>
    <x v="2"/>
    <x v="20"/>
    <x v="3"/>
    <m/>
  </r>
  <r>
    <x v="7"/>
    <d v="2026-01-11T00:00:00"/>
    <x v="6"/>
    <n v="15"/>
    <s v="CAÑA CHAQUETA"/>
    <x v="1"/>
    <x v="100"/>
    <x v="12"/>
    <x v="27"/>
    <x v="3"/>
    <x v="17"/>
    <x v="3"/>
    <m/>
  </r>
  <r>
    <x v="7"/>
    <d v="2026-01-11T00:00:00"/>
    <x v="6"/>
    <n v="15"/>
    <s v="CAÑA CHAQUETA"/>
    <x v="1"/>
    <x v="100"/>
    <x v="1"/>
    <x v="17"/>
    <x v="3"/>
    <x v="16"/>
    <x v="3"/>
    <m/>
  </r>
  <r>
    <x v="7"/>
    <d v="2026-01-11T00:00:00"/>
    <x v="6"/>
    <n v="15"/>
    <s v="CAÑA CHAQUETA"/>
    <x v="1"/>
    <x v="100"/>
    <x v="12"/>
    <x v="17"/>
    <x v="2"/>
    <x v="20"/>
    <x v="3"/>
    <m/>
  </r>
  <r>
    <x v="7"/>
    <d v="2026-01-11T00:00:00"/>
    <x v="6"/>
    <n v="15"/>
    <s v="CAÑA CHAQUETA"/>
    <x v="1"/>
    <x v="100"/>
    <x v="10"/>
    <x v="25"/>
    <x v="2"/>
    <x v="20"/>
    <x v="3"/>
    <m/>
  </r>
  <r>
    <x v="7"/>
    <d v="2026-01-11T00:00:00"/>
    <x v="6"/>
    <n v="15"/>
    <s v="CAÑA CHAQUETA"/>
    <x v="1"/>
    <x v="100"/>
    <x v="8"/>
    <x v="17"/>
    <x v="3"/>
    <x v="14"/>
    <x v="3"/>
    <m/>
  </r>
  <r>
    <x v="7"/>
    <d v="2026-01-11T00:00:00"/>
    <x v="6"/>
    <n v="15"/>
    <s v="CAÑA CHAQUETA"/>
    <x v="1"/>
    <x v="100"/>
    <x v="12"/>
    <x v="25"/>
    <x v="3"/>
    <x v="20"/>
    <x v="3"/>
    <m/>
  </r>
  <r>
    <x v="7"/>
    <d v="2026-01-11T00:00:00"/>
    <x v="6"/>
    <n v="15"/>
    <s v="CAÑA CHAQUETA"/>
    <x v="1"/>
    <x v="100"/>
    <x v="0"/>
    <x v="26"/>
    <x v="3"/>
    <x v="20"/>
    <x v="3"/>
    <m/>
  </r>
  <r>
    <x v="7"/>
    <d v="2026-01-11T00:00:00"/>
    <x v="6"/>
    <n v="15"/>
    <s v="CAÑA CHAQUETA"/>
    <x v="1"/>
    <x v="100"/>
    <x v="12"/>
    <x v="25"/>
    <x v="2"/>
    <x v="14"/>
    <x v="3"/>
    <m/>
  </r>
  <r>
    <x v="7"/>
    <d v="2026-01-11T00:00:00"/>
    <x v="6"/>
    <n v="15"/>
    <s v="CAÑA CHAQUETA"/>
    <x v="1"/>
    <x v="100"/>
    <x v="1"/>
    <x v="17"/>
    <x v="3"/>
    <x v="17"/>
    <x v="3"/>
    <m/>
  </r>
  <r>
    <x v="7"/>
    <d v="2026-01-11T00:00:00"/>
    <x v="6"/>
    <n v="15"/>
    <s v="CAÑA CHAQUETA"/>
    <x v="1"/>
    <x v="103"/>
    <x v="20"/>
    <x v="17"/>
    <x v="2"/>
    <x v="15"/>
    <x v="3"/>
    <m/>
  </r>
  <r>
    <x v="7"/>
    <d v="2026-01-11T00:00:00"/>
    <x v="6"/>
    <n v="15"/>
    <s v="CAÑA CHAQUETA"/>
    <x v="1"/>
    <x v="103"/>
    <x v="12"/>
    <x v="17"/>
    <x v="3"/>
    <x v="15"/>
    <x v="3"/>
    <m/>
  </r>
  <r>
    <x v="7"/>
    <d v="2026-01-11T00:00:00"/>
    <x v="6"/>
    <n v="15"/>
    <s v="CAÑA CHAQUETA"/>
    <x v="1"/>
    <x v="103"/>
    <x v="12"/>
    <x v="26"/>
    <x v="3"/>
    <x v="14"/>
    <x v="3"/>
    <m/>
  </r>
  <r>
    <x v="7"/>
    <d v="2026-01-11T00:00:00"/>
    <x v="6"/>
    <n v="15"/>
    <s v="CAÑA CHAQUETA"/>
    <x v="1"/>
    <x v="103"/>
    <x v="1"/>
    <x v="26"/>
    <x v="3"/>
    <x v="14"/>
    <x v="3"/>
    <m/>
  </r>
  <r>
    <x v="7"/>
    <d v="2026-01-11T00:00:00"/>
    <x v="6"/>
    <n v="15"/>
    <s v="CAÑA CHAQUETA"/>
    <x v="1"/>
    <x v="103"/>
    <x v="12"/>
    <x v="17"/>
    <x v="2"/>
    <x v="14"/>
    <x v="3"/>
    <m/>
  </r>
  <r>
    <x v="7"/>
    <d v="2026-01-11T00:00:00"/>
    <x v="6"/>
    <n v="15"/>
    <s v="CAÑA CHAQUETA"/>
    <x v="1"/>
    <x v="103"/>
    <x v="13"/>
    <x v="25"/>
    <x v="2"/>
    <x v="21"/>
    <x v="3"/>
    <m/>
  </r>
  <r>
    <x v="7"/>
    <d v="2026-01-11T00:00:00"/>
    <x v="6"/>
    <n v="15"/>
    <s v="CAÑA CHAQUETA"/>
    <x v="1"/>
    <x v="103"/>
    <x v="13"/>
    <x v="27"/>
    <x v="3"/>
    <x v="14"/>
    <x v="3"/>
    <m/>
  </r>
  <r>
    <x v="7"/>
    <d v="2026-01-11T00:00:00"/>
    <x v="6"/>
    <n v="15"/>
    <s v="CAÑA CHAQUETA"/>
    <x v="1"/>
    <x v="103"/>
    <x v="11"/>
    <x v="26"/>
    <x v="2"/>
    <x v="14"/>
    <x v="3"/>
    <m/>
  </r>
  <r>
    <x v="7"/>
    <d v="2026-01-11T00:00:00"/>
    <x v="6"/>
    <n v="15"/>
    <s v="CAÑA CHAQUETA"/>
    <x v="1"/>
    <x v="103"/>
    <x v="13"/>
    <x v="17"/>
    <x v="2"/>
    <x v="14"/>
    <x v="3"/>
    <m/>
  </r>
  <r>
    <x v="7"/>
    <d v="2026-01-11T00:00:00"/>
    <x v="6"/>
    <n v="15"/>
    <s v="CAÑA CHAQUETA"/>
    <x v="1"/>
    <x v="103"/>
    <x v="10"/>
    <x v="17"/>
    <x v="2"/>
    <x v="22"/>
    <x v="3"/>
    <m/>
  </r>
  <r>
    <x v="7"/>
    <d v="2026-01-11T00:00:00"/>
    <x v="6"/>
    <n v="15"/>
    <s v="CAÑA CHAQUETA"/>
    <x v="1"/>
    <x v="103"/>
    <x v="10"/>
    <x v="25"/>
    <x v="2"/>
    <x v="22"/>
    <x v="3"/>
    <m/>
  </r>
  <r>
    <x v="7"/>
    <d v="2026-01-11T00:00:00"/>
    <x v="6"/>
    <n v="15"/>
    <s v="CAÑA CHAQUETA"/>
    <x v="1"/>
    <x v="103"/>
    <x v="11"/>
    <x v="17"/>
    <x v="3"/>
    <x v="20"/>
    <x v="3"/>
    <m/>
  </r>
  <r>
    <x v="7"/>
    <d v="2026-01-11T00:00:00"/>
    <x v="6"/>
    <n v="15"/>
    <s v="CAÑA CHAQUETA"/>
    <x v="1"/>
    <x v="103"/>
    <x v="0"/>
    <x v="17"/>
    <x v="3"/>
    <x v="20"/>
    <x v="3"/>
    <m/>
  </r>
  <r>
    <x v="7"/>
    <d v="2026-01-11T00:00:00"/>
    <x v="6"/>
    <n v="15"/>
    <s v="CAÑA CHAQUETA"/>
    <x v="1"/>
    <x v="103"/>
    <x v="8"/>
    <x v="25"/>
    <x v="2"/>
    <x v="20"/>
    <x v="3"/>
    <m/>
  </r>
  <r>
    <x v="7"/>
    <d v="2026-01-11T00:00:00"/>
    <x v="6"/>
    <n v="15"/>
    <s v="CAÑA CHAQUETA"/>
    <x v="1"/>
    <x v="103"/>
    <x v="9"/>
    <x v="17"/>
    <x v="2"/>
    <x v="18"/>
    <x v="3"/>
    <m/>
  </r>
  <r>
    <x v="7"/>
    <d v="2026-01-11T00:00:00"/>
    <x v="6"/>
    <n v="15"/>
    <s v="CAÑA CHAQUETA"/>
    <x v="1"/>
    <x v="103"/>
    <x v="8"/>
    <x v="26"/>
    <x v="3"/>
    <x v="14"/>
    <x v="3"/>
    <m/>
  </r>
  <r>
    <x v="7"/>
    <d v="2026-01-11T00:00:00"/>
    <x v="6"/>
    <n v="15"/>
    <s v="CAÑA CHAQUETA"/>
    <x v="1"/>
    <x v="103"/>
    <x v="1"/>
    <x v="26"/>
    <x v="3"/>
    <x v="14"/>
    <x v="3"/>
    <m/>
  </r>
  <r>
    <x v="7"/>
    <d v="2026-01-11T00:00:00"/>
    <x v="6"/>
    <n v="15"/>
    <s v="CAÑA CHAQUETA"/>
    <x v="1"/>
    <x v="103"/>
    <x v="20"/>
    <x v="17"/>
    <x v="3"/>
    <x v="19"/>
    <x v="3"/>
    <m/>
  </r>
  <r>
    <x v="7"/>
    <d v="2026-01-11T00:00:00"/>
    <x v="6"/>
    <n v="15"/>
    <s v="CAÑA CHAQUETA"/>
    <x v="1"/>
    <x v="103"/>
    <x v="20"/>
    <x v="27"/>
    <x v="3"/>
    <x v="15"/>
    <x v="3"/>
    <m/>
  </r>
  <r>
    <x v="7"/>
    <d v="2026-01-11T00:00:00"/>
    <x v="6"/>
    <n v="15"/>
    <s v="CAÑA CHAQUETA"/>
    <x v="1"/>
    <x v="103"/>
    <x v="10"/>
    <x v="25"/>
    <x v="2"/>
    <x v="15"/>
    <x v="3"/>
    <m/>
  </r>
  <r>
    <x v="7"/>
    <d v="2026-01-11T00:00:00"/>
    <x v="6"/>
    <n v="15"/>
    <s v="CAÑA CHAQUETA"/>
    <x v="1"/>
    <x v="103"/>
    <x v="10"/>
    <x v="30"/>
    <x v="2"/>
    <x v="15"/>
    <x v="3"/>
    <m/>
  </r>
  <r>
    <x v="7"/>
    <d v="2026-01-11T00:00:00"/>
    <x v="6"/>
    <n v="15"/>
    <s v="CAÑA CHAQUETA"/>
    <x v="1"/>
    <x v="103"/>
    <x v="1"/>
    <x v="29"/>
    <x v="2"/>
    <x v="16"/>
    <x v="3"/>
    <m/>
  </r>
  <r>
    <x v="7"/>
    <d v="2026-01-11T00:00:00"/>
    <x v="6"/>
    <n v="15"/>
    <s v="CAÑA CHAQUETA"/>
    <x v="1"/>
    <x v="103"/>
    <x v="11"/>
    <x v="17"/>
    <x v="3"/>
    <x v="14"/>
    <x v="3"/>
    <m/>
  </r>
  <r>
    <x v="7"/>
    <d v="2026-01-11T00:00:00"/>
    <x v="6"/>
    <n v="15"/>
    <s v="CAÑA CHAQUETA"/>
    <x v="1"/>
    <x v="103"/>
    <x v="13"/>
    <x v="25"/>
    <x v="2"/>
    <x v="21"/>
    <x v="3"/>
    <m/>
  </r>
  <r>
    <x v="7"/>
    <d v="2026-01-11T00:00:00"/>
    <x v="6"/>
    <n v="15"/>
    <s v="CAÑA CHAQUETA"/>
    <x v="1"/>
    <x v="103"/>
    <x v="10"/>
    <x v="17"/>
    <x v="2"/>
    <x v="17"/>
    <x v="3"/>
    <m/>
  </r>
  <r>
    <x v="7"/>
    <d v="2026-01-11T00:00:00"/>
    <x v="6"/>
    <n v="15"/>
    <s v="CAÑA CHAQUETA"/>
    <x v="1"/>
    <x v="103"/>
    <x v="13"/>
    <x v="15"/>
    <x v="3"/>
    <x v="15"/>
    <x v="3"/>
    <m/>
  </r>
  <r>
    <x v="7"/>
    <d v="2026-01-11T00:00:00"/>
    <x v="6"/>
    <n v="15"/>
    <s v="CAÑA CHAQUETA"/>
    <x v="1"/>
    <x v="103"/>
    <x v="12"/>
    <x v="13"/>
    <x v="3"/>
    <x v="19"/>
    <x v="3"/>
    <m/>
  </r>
  <r>
    <x v="7"/>
    <d v="2026-01-11T00:00:00"/>
    <x v="6"/>
    <n v="15"/>
    <s v="CAÑA CHAQUETA"/>
    <x v="1"/>
    <x v="103"/>
    <x v="0"/>
    <x v="17"/>
    <x v="3"/>
    <x v="14"/>
    <x v="3"/>
    <m/>
  </r>
  <r>
    <x v="7"/>
    <d v="2026-01-11T00:00:00"/>
    <x v="6"/>
    <n v="15"/>
    <s v="CAÑA CHAQUETA"/>
    <x v="1"/>
    <x v="103"/>
    <x v="12"/>
    <x v="17"/>
    <x v="3"/>
    <x v="14"/>
    <x v="3"/>
    <m/>
  </r>
  <r>
    <x v="7"/>
    <d v="2026-01-11T00:00:00"/>
    <x v="6"/>
    <n v="15"/>
    <s v="CAÑA CHAQUETA"/>
    <x v="1"/>
    <x v="103"/>
    <x v="9"/>
    <x v="17"/>
    <x v="3"/>
    <x v="14"/>
    <x v="3"/>
    <m/>
  </r>
  <r>
    <x v="7"/>
    <d v="2026-01-11T00:00:00"/>
    <x v="6"/>
    <n v="15"/>
    <s v="CAÑA CHAQUETA"/>
    <x v="1"/>
    <x v="103"/>
    <x v="13"/>
    <x v="25"/>
    <x v="2"/>
    <x v="18"/>
    <x v="3"/>
    <m/>
  </r>
  <r>
    <x v="7"/>
    <d v="2026-01-11T00:00:00"/>
    <x v="6"/>
    <n v="15"/>
    <s v="CAÑA CHAQUETA"/>
    <x v="1"/>
    <x v="103"/>
    <x v="9"/>
    <x v="27"/>
    <x v="3"/>
    <x v="18"/>
    <x v="3"/>
    <m/>
  </r>
  <r>
    <x v="7"/>
    <d v="2026-01-11T00:00:00"/>
    <x v="6"/>
    <n v="15"/>
    <s v="CAÑA CHAQUETA"/>
    <x v="1"/>
    <x v="103"/>
    <x v="13"/>
    <x v="17"/>
    <x v="3"/>
    <x v="18"/>
    <x v="3"/>
    <m/>
  </r>
  <r>
    <x v="7"/>
    <d v="2026-01-11T00:00:00"/>
    <x v="6"/>
    <n v="15"/>
    <s v="CAÑA CHAQUETA"/>
    <x v="1"/>
    <x v="103"/>
    <x v="12"/>
    <x v="17"/>
    <x v="3"/>
    <x v="17"/>
    <x v="3"/>
    <m/>
  </r>
  <r>
    <x v="7"/>
    <d v="2026-01-11T00:00:00"/>
    <x v="6"/>
    <n v="15"/>
    <s v="CAÑA CHAQUETA"/>
    <x v="1"/>
    <x v="103"/>
    <x v="10"/>
    <x v="17"/>
    <x v="3"/>
    <x v="22"/>
    <x v="3"/>
    <m/>
  </r>
  <r>
    <x v="7"/>
    <d v="2026-01-11T00:00:00"/>
    <x v="6"/>
    <n v="15"/>
    <s v="CAÑA CHAQUETA"/>
    <x v="1"/>
    <x v="103"/>
    <x v="12"/>
    <x v="21"/>
    <x v="3"/>
    <x v="22"/>
    <x v="3"/>
    <m/>
  </r>
  <r>
    <x v="7"/>
    <d v="2026-01-11T00:00:00"/>
    <x v="6"/>
    <n v="15"/>
    <s v="CAÑA CHAQUETA"/>
    <x v="1"/>
    <x v="103"/>
    <x v="10"/>
    <x v="30"/>
    <x v="2"/>
    <x v="22"/>
    <x v="3"/>
    <m/>
  </r>
  <r>
    <x v="7"/>
    <d v="2026-01-11T00:00:00"/>
    <x v="6"/>
    <n v="15"/>
    <s v="CAÑA CHAQUETA"/>
    <x v="1"/>
    <x v="103"/>
    <x v="0"/>
    <x v="17"/>
    <x v="2"/>
    <x v="14"/>
    <x v="3"/>
    <m/>
  </r>
  <r>
    <x v="7"/>
    <d v="2026-01-11T00:00:00"/>
    <x v="6"/>
    <n v="15"/>
    <s v="CAÑA CHAQUETA"/>
    <x v="1"/>
    <x v="103"/>
    <x v="11"/>
    <x v="25"/>
    <x v="2"/>
    <x v="20"/>
    <x v="3"/>
    <m/>
  </r>
  <r>
    <x v="7"/>
    <d v="2026-01-11T00:00:00"/>
    <x v="6"/>
    <n v="15"/>
    <s v="CAÑA CHAQUETA"/>
    <x v="1"/>
    <x v="103"/>
    <x v="11"/>
    <x v="24"/>
    <x v="3"/>
    <x v="20"/>
    <x v="3"/>
    <m/>
  </r>
  <r>
    <x v="7"/>
    <d v="2026-01-11T00:00:00"/>
    <x v="6"/>
    <n v="15"/>
    <s v="CAÑA CHAQUETA"/>
    <x v="1"/>
    <x v="103"/>
    <x v="20"/>
    <x v="27"/>
    <x v="3"/>
    <x v="17"/>
    <x v="3"/>
    <m/>
  </r>
  <r>
    <x v="7"/>
    <d v="2026-01-11T00:00:00"/>
    <x v="6"/>
    <n v="15"/>
    <s v="CAÑA CHAQUETA"/>
    <x v="1"/>
    <x v="103"/>
    <x v="11"/>
    <x v="26"/>
    <x v="3"/>
    <x v="14"/>
    <x v="3"/>
    <m/>
  </r>
  <r>
    <x v="7"/>
    <d v="2026-01-11T00:00:00"/>
    <x v="6"/>
    <n v="15"/>
    <s v="CAÑA CHAQUETA"/>
    <x v="1"/>
    <x v="103"/>
    <x v="12"/>
    <x v="17"/>
    <x v="3"/>
    <x v="17"/>
    <x v="3"/>
    <m/>
  </r>
  <r>
    <x v="7"/>
    <d v="2026-01-11T00:00:00"/>
    <x v="6"/>
    <n v="15"/>
    <s v="CAÑA CHAQUETA"/>
    <x v="1"/>
    <x v="103"/>
    <x v="12"/>
    <x v="17"/>
    <x v="3"/>
    <x v="17"/>
    <x v="3"/>
    <m/>
  </r>
  <r>
    <x v="7"/>
    <d v="2026-01-11T00:00:00"/>
    <x v="6"/>
    <n v="15"/>
    <s v="CAÑA CHAQUETA"/>
    <x v="1"/>
    <x v="103"/>
    <x v="11"/>
    <x v="26"/>
    <x v="2"/>
    <x v="14"/>
    <x v="3"/>
    <m/>
  </r>
  <r>
    <x v="7"/>
    <d v="2026-01-11T00:00:00"/>
    <x v="6"/>
    <n v="15"/>
    <s v="CAÑA CHAQUETA"/>
    <x v="1"/>
    <x v="98"/>
    <x v="11"/>
    <x v="26"/>
    <x v="3"/>
    <x v="14"/>
    <x v="3"/>
    <m/>
  </r>
  <r>
    <x v="7"/>
    <d v="2026-01-11T00:00:00"/>
    <x v="6"/>
    <n v="15"/>
    <s v="CAÑA CHAQUETA"/>
    <x v="1"/>
    <x v="98"/>
    <x v="20"/>
    <x v="17"/>
    <x v="3"/>
    <x v="11"/>
    <x v="3"/>
    <m/>
  </r>
  <r>
    <x v="7"/>
    <d v="2026-01-11T00:00:00"/>
    <x v="6"/>
    <n v="15"/>
    <s v="CAÑA CHAQUETA"/>
    <x v="1"/>
    <x v="98"/>
    <x v="12"/>
    <x v="26"/>
    <x v="3"/>
    <x v="22"/>
    <x v="3"/>
    <m/>
  </r>
  <r>
    <x v="7"/>
    <d v="2026-01-11T00:00:00"/>
    <x v="6"/>
    <n v="15"/>
    <s v="CAÑA CHAQUETA"/>
    <x v="1"/>
    <x v="98"/>
    <x v="11"/>
    <x v="17"/>
    <x v="3"/>
    <x v="14"/>
    <x v="3"/>
    <m/>
  </r>
  <r>
    <x v="7"/>
    <d v="2026-01-11T00:00:00"/>
    <x v="6"/>
    <n v="15"/>
    <s v="CAÑA CHAQUETA"/>
    <x v="1"/>
    <x v="98"/>
    <x v="11"/>
    <x v="17"/>
    <x v="3"/>
    <x v="20"/>
    <x v="3"/>
    <m/>
  </r>
  <r>
    <x v="7"/>
    <d v="2026-01-11T00:00:00"/>
    <x v="6"/>
    <n v="15"/>
    <s v="CAÑA CHAQUETA"/>
    <x v="1"/>
    <x v="98"/>
    <x v="20"/>
    <x v="17"/>
    <x v="2"/>
    <x v="15"/>
    <x v="3"/>
    <m/>
  </r>
  <r>
    <x v="7"/>
    <d v="2026-01-11T00:00:00"/>
    <x v="6"/>
    <n v="15"/>
    <s v="CAÑA CHAQUETA"/>
    <x v="1"/>
    <x v="98"/>
    <x v="8"/>
    <x v="25"/>
    <x v="3"/>
    <x v="14"/>
    <x v="3"/>
    <m/>
  </r>
  <r>
    <x v="7"/>
    <d v="2026-01-11T00:00:00"/>
    <x v="6"/>
    <n v="15"/>
    <s v="CAÑA CHAQUETA"/>
    <x v="1"/>
    <x v="98"/>
    <x v="8"/>
    <x v="17"/>
    <x v="3"/>
    <x v="14"/>
    <x v="3"/>
    <m/>
  </r>
  <r>
    <x v="7"/>
    <d v="2026-01-11T00:00:00"/>
    <x v="6"/>
    <n v="15"/>
    <s v="CAÑA CHAQUETA"/>
    <x v="1"/>
    <x v="98"/>
    <x v="11"/>
    <x v="28"/>
    <x v="2"/>
    <x v="20"/>
    <x v="3"/>
    <m/>
  </r>
  <r>
    <x v="7"/>
    <d v="2026-01-11T00:00:00"/>
    <x v="6"/>
    <n v="15"/>
    <s v="CAÑA CHAQUETA"/>
    <x v="1"/>
    <x v="98"/>
    <x v="11"/>
    <x v="17"/>
    <x v="3"/>
    <x v="14"/>
    <x v="3"/>
    <m/>
  </r>
  <r>
    <x v="7"/>
    <d v="2026-01-11T00:00:00"/>
    <x v="6"/>
    <n v="15"/>
    <s v="CAÑA CHAQUETA"/>
    <x v="1"/>
    <x v="98"/>
    <x v="8"/>
    <x v="25"/>
    <x v="3"/>
    <x v="11"/>
    <x v="3"/>
    <m/>
  </r>
  <r>
    <x v="7"/>
    <d v="2026-01-11T00:00:00"/>
    <x v="6"/>
    <n v="15"/>
    <s v="CAÑA CHAQUETA"/>
    <x v="1"/>
    <x v="98"/>
    <x v="13"/>
    <x v="8"/>
    <x v="3"/>
    <x v="20"/>
    <x v="3"/>
    <m/>
  </r>
  <r>
    <x v="7"/>
    <d v="2026-01-11T00:00:00"/>
    <x v="6"/>
    <n v="15"/>
    <s v="CAÑA CHAQUETA"/>
    <x v="1"/>
    <x v="98"/>
    <x v="20"/>
    <x v="17"/>
    <x v="2"/>
    <x v="15"/>
    <x v="3"/>
    <m/>
  </r>
  <r>
    <x v="7"/>
    <d v="2026-01-11T00:00:00"/>
    <x v="6"/>
    <n v="15"/>
    <s v="CAÑA CHAQUETA"/>
    <x v="1"/>
    <x v="98"/>
    <x v="8"/>
    <x v="25"/>
    <x v="3"/>
    <x v="15"/>
    <x v="3"/>
    <m/>
  </r>
  <r>
    <x v="7"/>
    <d v="2026-01-11T00:00:00"/>
    <x v="6"/>
    <n v="15"/>
    <s v="CAÑA CHAQUETA"/>
    <x v="1"/>
    <x v="98"/>
    <x v="20"/>
    <x v="17"/>
    <x v="3"/>
    <x v="22"/>
    <x v="3"/>
    <m/>
  </r>
  <r>
    <x v="7"/>
    <d v="2026-01-11T00:00:00"/>
    <x v="6"/>
    <n v="15"/>
    <s v="CAÑA CHAQUETA"/>
    <x v="1"/>
    <x v="98"/>
    <x v="10"/>
    <x v="25"/>
    <x v="3"/>
    <x v="15"/>
    <x v="3"/>
    <m/>
  </r>
  <r>
    <x v="7"/>
    <d v="2026-01-11T00:00:00"/>
    <x v="6"/>
    <n v="15"/>
    <s v="CAÑA CHAQUETA"/>
    <x v="1"/>
    <x v="98"/>
    <x v="10"/>
    <x v="27"/>
    <x v="3"/>
    <x v="15"/>
    <x v="3"/>
    <m/>
  </r>
  <r>
    <x v="7"/>
    <d v="2026-01-11T00:00:00"/>
    <x v="6"/>
    <n v="15"/>
    <s v="CAÑA CHAQUETA"/>
    <x v="1"/>
    <x v="98"/>
    <x v="11"/>
    <x v="30"/>
    <x v="2"/>
    <x v="15"/>
    <x v="3"/>
    <m/>
  </r>
  <r>
    <x v="7"/>
    <d v="2026-01-11T00:00:00"/>
    <x v="6"/>
    <n v="15"/>
    <s v="CAÑA CHAQUETA"/>
    <x v="1"/>
    <x v="98"/>
    <x v="9"/>
    <x v="28"/>
    <x v="2"/>
    <x v="18"/>
    <x v="3"/>
    <m/>
  </r>
  <r>
    <x v="7"/>
    <d v="2026-01-11T00:00:00"/>
    <x v="6"/>
    <n v="15"/>
    <s v="CAÑA CHAQUETA"/>
    <x v="1"/>
    <x v="98"/>
    <x v="13"/>
    <x v="26"/>
    <x v="5"/>
    <x v="18"/>
    <x v="3"/>
    <m/>
  </r>
  <r>
    <x v="7"/>
    <d v="2026-01-11T00:00:00"/>
    <x v="6"/>
    <n v="15"/>
    <s v="CAÑA CHAQUETA"/>
    <x v="1"/>
    <x v="98"/>
    <x v="11"/>
    <x v="17"/>
    <x v="3"/>
    <x v="18"/>
    <x v="3"/>
    <m/>
  </r>
  <r>
    <x v="7"/>
    <d v="2026-01-11T00:00:00"/>
    <x v="6"/>
    <n v="15"/>
    <s v="CAÑA CHAQUETA"/>
    <x v="1"/>
    <x v="98"/>
    <x v="13"/>
    <x v="25"/>
    <x v="2"/>
    <x v="18"/>
    <x v="3"/>
    <m/>
  </r>
  <r>
    <x v="7"/>
    <d v="2026-01-11T00:00:00"/>
    <x v="6"/>
    <n v="15"/>
    <s v="CAÑA CHAQUETA"/>
    <x v="1"/>
    <x v="98"/>
    <x v="1"/>
    <x v="17"/>
    <x v="3"/>
    <x v="16"/>
    <x v="3"/>
    <m/>
  </r>
  <r>
    <x v="7"/>
    <d v="2026-01-11T00:00:00"/>
    <x v="6"/>
    <n v="15"/>
    <s v="CAÑA CHAQUETA"/>
    <x v="1"/>
    <x v="98"/>
    <x v="20"/>
    <x v="17"/>
    <x v="2"/>
    <x v="17"/>
    <x v="3"/>
    <m/>
  </r>
  <r>
    <x v="7"/>
    <d v="2026-01-11T00:00:00"/>
    <x v="6"/>
    <n v="15"/>
    <s v="CAÑA CHAQUETA"/>
    <x v="1"/>
    <x v="98"/>
    <x v="20"/>
    <x v="17"/>
    <x v="2"/>
    <x v="11"/>
    <x v="3"/>
    <m/>
  </r>
  <r>
    <x v="7"/>
    <d v="2026-01-11T00:00:00"/>
    <x v="6"/>
    <n v="15"/>
    <s v="CAÑA CHAQUETA"/>
    <x v="1"/>
    <x v="98"/>
    <x v="10"/>
    <x v="25"/>
    <x v="3"/>
    <x v="11"/>
    <x v="3"/>
    <m/>
  </r>
  <r>
    <x v="7"/>
    <d v="2026-01-11T00:00:00"/>
    <x v="6"/>
    <n v="15"/>
    <s v="CAÑA CHAQUETA"/>
    <x v="1"/>
    <x v="98"/>
    <x v="1"/>
    <x v="17"/>
    <x v="3"/>
    <x v="16"/>
    <x v="3"/>
    <m/>
  </r>
  <r>
    <x v="7"/>
    <d v="2026-01-11T00:00:00"/>
    <x v="6"/>
    <n v="15"/>
    <s v="CAÑA CHAQUETA"/>
    <x v="1"/>
    <x v="98"/>
    <x v="10"/>
    <x v="17"/>
    <x v="3"/>
    <x v="22"/>
    <x v="3"/>
    <m/>
  </r>
  <r>
    <x v="7"/>
    <d v="2026-01-11T00:00:00"/>
    <x v="6"/>
    <n v="15"/>
    <s v="CAÑA CHAQUETA"/>
    <x v="1"/>
    <x v="98"/>
    <x v="10"/>
    <x v="30"/>
    <x v="2"/>
    <x v="19"/>
    <x v="3"/>
    <m/>
  </r>
  <r>
    <x v="7"/>
    <d v="2026-01-11T00:00:00"/>
    <x v="6"/>
    <n v="15"/>
    <s v="CAÑA CHAQUETA"/>
    <x v="1"/>
    <x v="98"/>
    <x v="12"/>
    <x v="27"/>
    <x v="3"/>
    <x v="14"/>
    <x v="3"/>
    <m/>
  </r>
  <r>
    <x v="7"/>
    <d v="2026-01-11T00:00:00"/>
    <x v="6"/>
    <n v="15"/>
    <s v="CAÑA CHAQUETA"/>
    <x v="1"/>
    <x v="98"/>
    <x v="13"/>
    <x v="17"/>
    <x v="3"/>
    <x v="21"/>
    <x v="3"/>
    <m/>
  </r>
  <r>
    <x v="7"/>
    <d v="2026-01-11T00:00:00"/>
    <x v="6"/>
    <n v="15"/>
    <s v="CAÑA CHAQUETA"/>
    <x v="1"/>
    <x v="98"/>
    <x v="20"/>
    <x v="17"/>
    <x v="2"/>
    <x v="21"/>
    <x v="3"/>
    <m/>
  </r>
  <r>
    <x v="7"/>
    <d v="2026-01-11T00:00:00"/>
    <x v="6"/>
    <n v="15"/>
    <s v="CAÑA CHAQUETA"/>
    <x v="1"/>
    <x v="98"/>
    <x v="13"/>
    <x v="25"/>
    <x v="3"/>
    <x v="21"/>
    <x v="3"/>
    <m/>
  </r>
  <r>
    <x v="7"/>
    <d v="2026-01-11T00:00:00"/>
    <x v="6"/>
    <n v="15"/>
    <s v="CAÑA CHAQUETA"/>
    <x v="1"/>
    <x v="98"/>
    <x v="8"/>
    <x v="25"/>
    <x v="2"/>
    <x v="21"/>
    <x v="3"/>
    <m/>
  </r>
  <r>
    <x v="7"/>
    <d v="2026-01-11T00:00:00"/>
    <x v="6"/>
    <n v="15"/>
    <s v="CAÑA CHAQUETA"/>
    <x v="1"/>
    <x v="98"/>
    <x v="0"/>
    <x v="17"/>
    <x v="3"/>
    <x v="20"/>
    <x v="3"/>
    <m/>
  </r>
  <r>
    <x v="7"/>
    <d v="2026-01-11T00:00:00"/>
    <x v="6"/>
    <n v="15"/>
    <s v="CAÑA CHAQUETA"/>
    <x v="1"/>
    <x v="98"/>
    <x v="12"/>
    <x v="17"/>
    <x v="3"/>
    <x v="11"/>
    <x v="3"/>
    <m/>
  </r>
  <r>
    <x v="7"/>
    <d v="2026-01-11T00:00:00"/>
    <x v="6"/>
    <n v="15"/>
    <s v="CAÑA CHAQUETA"/>
    <x v="1"/>
    <x v="98"/>
    <x v="12"/>
    <x v="26"/>
    <x v="3"/>
    <x v="11"/>
    <x v="3"/>
    <m/>
  </r>
  <r>
    <x v="7"/>
    <d v="2026-01-11T00:00:00"/>
    <x v="6"/>
    <n v="15"/>
    <s v="CAÑA CHAQUETA"/>
    <x v="1"/>
    <x v="98"/>
    <x v="13"/>
    <x v="17"/>
    <x v="3"/>
    <x v="16"/>
    <x v="3"/>
    <m/>
  </r>
  <r>
    <x v="7"/>
    <d v="2026-01-11T00:00:00"/>
    <x v="6"/>
    <n v="15"/>
    <s v="CAÑA CHAQUETA"/>
    <x v="1"/>
    <x v="98"/>
    <x v="11"/>
    <x v="26"/>
    <x v="3"/>
    <x v="11"/>
    <x v="3"/>
    <m/>
  </r>
  <r>
    <x v="7"/>
    <d v="2026-01-11T00:00:00"/>
    <x v="6"/>
    <n v="15"/>
    <s v="CAÑA CHAQUETA"/>
    <x v="1"/>
    <x v="101"/>
    <x v="11"/>
    <x v="17"/>
    <x v="3"/>
    <x v="16"/>
    <x v="3"/>
    <m/>
  </r>
  <r>
    <x v="7"/>
    <d v="2026-01-11T00:00:00"/>
    <x v="6"/>
    <n v="15"/>
    <s v="CAÑA CHAQUETA"/>
    <x v="1"/>
    <x v="101"/>
    <x v="12"/>
    <x v="17"/>
    <x v="3"/>
    <x v="14"/>
    <x v="3"/>
    <m/>
  </r>
  <r>
    <x v="7"/>
    <d v="2026-01-11T00:00:00"/>
    <x v="6"/>
    <n v="15"/>
    <s v="CAÑA CHAQUETA"/>
    <x v="1"/>
    <x v="101"/>
    <x v="10"/>
    <x v="17"/>
    <x v="3"/>
    <x v="14"/>
    <x v="3"/>
    <m/>
  </r>
  <r>
    <x v="7"/>
    <d v="2026-01-11T00:00:00"/>
    <x v="6"/>
    <n v="15"/>
    <s v="CAÑA CHAQUETA"/>
    <x v="1"/>
    <x v="101"/>
    <x v="20"/>
    <x v="17"/>
    <x v="3"/>
    <x v="14"/>
    <x v="3"/>
    <m/>
  </r>
  <r>
    <x v="7"/>
    <d v="2026-01-11T00:00:00"/>
    <x v="6"/>
    <n v="15"/>
    <s v="CAÑA CHAQUETA"/>
    <x v="1"/>
    <x v="101"/>
    <x v="8"/>
    <x v="17"/>
    <x v="3"/>
    <x v="14"/>
    <x v="3"/>
    <m/>
  </r>
  <r>
    <x v="7"/>
    <d v="2026-01-11T00:00:00"/>
    <x v="6"/>
    <n v="15"/>
    <s v="CAÑA CHAQUETA"/>
    <x v="1"/>
    <x v="101"/>
    <x v="0"/>
    <x v="17"/>
    <x v="3"/>
    <x v="14"/>
    <x v="3"/>
    <m/>
  </r>
  <r>
    <x v="7"/>
    <d v="2026-01-11T00:00:00"/>
    <x v="6"/>
    <n v="15"/>
    <s v="CAÑA CHAQUETA"/>
    <x v="1"/>
    <x v="101"/>
    <x v="20"/>
    <x v="17"/>
    <x v="3"/>
    <x v="17"/>
    <x v="3"/>
    <m/>
  </r>
  <r>
    <x v="7"/>
    <d v="2026-01-11T00:00:00"/>
    <x v="6"/>
    <n v="15"/>
    <s v="CAÑA CHAQUETA"/>
    <x v="1"/>
    <x v="101"/>
    <x v="13"/>
    <x v="17"/>
    <x v="3"/>
    <x v="21"/>
    <x v="3"/>
    <m/>
  </r>
  <r>
    <x v="7"/>
    <d v="2026-01-11T00:00:00"/>
    <x v="6"/>
    <n v="15"/>
    <s v="CAÑA CHAQUETA"/>
    <x v="1"/>
    <x v="101"/>
    <x v="20"/>
    <x v="17"/>
    <x v="3"/>
    <x v="21"/>
    <x v="3"/>
    <m/>
  </r>
  <r>
    <x v="7"/>
    <d v="2026-01-11T00:00:00"/>
    <x v="6"/>
    <n v="15"/>
    <s v="CAÑA CHAQUETA"/>
    <x v="1"/>
    <x v="101"/>
    <x v="20"/>
    <x v="17"/>
    <x v="3"/>
    <x v="21"/>
    <x v="3"/>
    <m/>
  </r>
  <r>
    <x v="7"/>
    <d v="2026-01-11T00:00:00"/>
    <x v="6"/>
    <n v="15"/>
    <s v="CAÑA CHAQUETA"/>
    <x v="1"/>
    <x v="101"/>
    <x v="20"/>
    <x v="31"/>
    <x v="3"/>
    <x v="21"/>
    <x v="3"/>
    <m/>
  </r>
  <r>
    <x v="7"/>
    <d v="2026-01-11T00:00:00"/>
    <x v="6"/>
    <n v="15"/>
    <s v="CAÑA CHAQUETA"/>
    <x v="1"/>
    <x v="101"/>
    <x v="8"/>
    <x v="8"/>
    <x v="2"/>
    <x v="21"/>
    <x v="3"/>
    <m/>
  </r>
  <r>
    <x v="7"/>
    <d v="2026-01-11T00:00:00"/>
    <x v="6"/>
    <n v="15"/>
    <s v="CAÑA CHAQUETA"/>
    <x v="1"/>
    <x v="101"/>
    <x v="20"/>
    <x v="17"/>
    <x v="3"/>
    <x v="20"/>
    <x v="3"/>
    <m/>
  </r>
  <r>
    <x v="7"/>
    <d v="2026-01-11T00:00:00"/>
    <x v="6"/>
    <n v="15"/>
    <s v="CAÑA CHAQUETA"/>
    <x v="1"/>
    <x v="101"/>
    <x v="10"/>
    <x v="25"/>
    <x v="3"/>
    <x v="11"/>
    <x v="3"/>
    <m/>
  </r>
  <r>
    <x v="7"/>
    <d v="2026-01-11T00:00:00"/>
    <x v="6"/>
    <n v="15"/>
    <s v="CAÑA CHAQUETA"/>
    <x v="1"/>
    <x v="101"/>
    <x v="12"/>
    <x v="26"/>
    <x v="3"/>
    <x v="11"/>
    <x v="3"/>
    <m/>
  </r>
  <r>
    <x v="7"/>
    <d v="2026-01-11T00:00:00"/>
    <x v="6"/>
    <n v="15"/>
    <s v="CAÑA CHAQUETA"/>
    <x v="1"/>
    <x v="101"/>
    <x v="20"/>
    <x v="17"/>
    <x v="3"/>
    <x v="15"/>
    <x v="3"/>
    <m/>
  </r>
  <r>
    <x v="7"/>
    <d v="2026-01-11T00:00:00"/>
    <x v="6"/>
    <n v="15"/>
    <s v="CAÑA CHAQUETA"/>
    <x v="1"/>
    <x v="101"/>
    <x v="8"/>
    <x v="17"/>
    <x v="3"/>
    <x v="11"/>
    <x v="3"/>
    <m/>
  </r>
  <r>
    <x v="7"/>
    <d v="2026-01-11T00:00:00"/>
    <x v="6"/>
    <n v="15"/>
    <s v="CAÑA CHAQUETA"/>
    <x v="1"/>
    <x v="101"/>
    <x v="12"/>
    <x v="17"/>
    <x v="5"/>
    <x v="11"/>
    <x v="3"/>
    <m/>
  </r>
  <r>
    <x v="7"/>
    <d v="2026-01-11T00:00:00"/>
    <x v="6"/>
    <n v="15"/>
    <s v="CAÑA CHAQUETA"/>
    <x v="1"/>
    <x v="101"/>
    <x v="3"/>
    <x v="17"/>
    <x v="5"/>
    <x v="11"/>
    <x v="3"/>
    <m/>
  </r>
  <r>
    <x v="7"/>
    <d v="2026-01-11T00:00:00"/>
    <x v="6"/>
    <n v="15"/>
    <s v="CAÑA CHAQUETA"/>
    <x v="1"/>
    <x v="101"/>
    <x v="1"/>
    <x v="17"/>
    <x v="3"/>
    <x v="16"/>
    <x v="3"/>
    <m/>
  </r>
  <r>
    <x v="7"/>
    <d v="2026-01-11T00:00:00"/>
    <x v="6"/>
    <n v="15"/>
    <s v="CAÑA CHAQUETA"/>
    <x v="1"/>
    <x v="101"/>
    <x v="12"/>
    <x v="25"/>
    <x v="3"/>
    <x v="16"/>
    <x v="3"/>
    <m/>
  </r>
  <r>
    <x v="7"/>
    <d v="2026-01-11T00:00:00"/>
    <x v="6"/>
    <n v="15"/>
    <s v="CAÑA CHAQUETA"/>
    <x v="1"/>
    <x v="101"/>
    <x v="13"/>
    <x v="17"/>
    <x v="3"/>
    <x v="16"/>
    <x v="3"/>
    <m/>
  </r>
  <r>
    <x v="7"/>
    <d v="2026-01-11T00:00:00"/>
    <x v="6"/>
    <n v="15"/>
    <s v="CAÑA CHAQUETA"/>
    <x v="1"/>
    <x v="101"/>
    <x v="12"/>
    <x v="17"/>
    <x v="3"/>
    <x v="14"/>
    <x v="3"/>
    <m/>
  </r>
  <r>
    <x v="7"/>
    <d v="2026-01-11T00:00:00"/>
    <x v="6"/>
    <n v="15"/>
    <s v="CAÑA CHAQUETA"/>
    <x v="1"/>
    <x v="101"/>
    <x v="10"/>
    <x v="27"/>
    <x v="3"/>
    <x v="14"/>
    <x v="3"/>
    <m/>
  </r>
  <r>
    <x v="7"/>
    <d v="2026-01-11T00:00:00"/>
    <x v="6"/>
    <n v="15"/>
    <s v="CAÑA CHAQUETA"/>
    <x v="1"/>
    <x v="101"/>
    <x v="11"/>
    <x v="26"/>
    <x v="2"/>
    <x v="14"/>
    <x v="3"/>
    <m/>
  </r>
  <r>
    <x v="7"/>
    <d v="2026-01-11T00:00:00"/>
    <x v="6"/>
    <n v="15"/>
    <s v="CAÑA CHAQUETA"/>
    <x v="1"/>
    <x v="101"/>
    <x v="11"/>
    <x v="17"/>
    <x v="2"/>
    <x v="20"/>
    <x v="3"/>
    <m/>
  </r>
  <r>
    <x v="7"/>
    <d v="2026-01-11T00:00:00"/>
    <x v="6"/>
    <n v="15"/>
    <s v="CAÑA CHAQUETA"/>
    <x v="1"/>
    <x v="101"/>
    <x v="8"/>
    <x v="17"/>
    <x v="3"/>
    <x v="14"/>
    <x v="3"/>
    <m/>
  </r>
  <r>
    <x v="7"/>
    <d v="2026-01-11T00:00:00"/>
    <x v="6"/>
    <n v="15"/>
    <s v="CAÑA CHAQUETA"/>
    <x v="1"/>
    <x v="104"/>
    <x v="11"/>
    <x v="28"/>
    <x v="2"/>
    <x v="20"/>
    <x v="3"/>
    <m/>
  </r>
  <r>
    <x v="7"/>
    <d v="2026-01-11T00:00:00"/>
    <x v="6"/>
    <n v="15"/>
    <s v="CAÑA CHAQUETA"/>
    <x v="1"/>
    <x v="104"/>
    <x v="9"/>
    <x v="27"/>
    <x v="3"/>
    <x v="18"/>
    <x v="3"/>
    <m/>
  </r>
  <r>
    <x v="7"/>
    <d v="2026-01-11T00:00:00"/>
    <x v="6"/>
    <n v="15"/>
    <s v="CAÑA CHAQUETA"/>
    <x v="1"/>
    <x v="104"/>
    <x v="12"/>
    <x v="17"/>
    <x v="3"/>
    <x v="15"/>
    <x v="3"/>
    <m/>
  </r>
  <r>
    <x v="7"/>
    <d v="2026-01-11T00:00:00"/>
    <x v="6"/>
    <n v="15"/>
    <s v="CAÑA CHAQUETA"/>
    <x v="1"/>
    <x v="104"/>
    <x v="8"/>
    <x v="27"/>
    <x v="3"/>
    <x v="14"/>
    <x v="3"/>
    <m/>
  </r>
  <r>
    <x v="7"/>
    <d v="2026-01-11T00:00:00"/>
    <x v="6"/>
    <n v="15"/>
    <s v="CAÑA CHAQUETA"/>
    <x v="1"/>
    <x v="104"/>
    <x v="13"/>
    <x v="17"/>
    <x v="2"/>
    <x v="15"/>
    <x v="3"/>
    <m/>
  </r>
  <r>
    <x v="7"/>
    <d v="2026-01-11T00:00:00"/>
    <x v="6"/>
    <n v="15"/>
    <s v="CAÑA CHAQUETA"/>
    <x v="1"/>
    <x v="104"/>
    <x v="10"/>
    <x v="25"/>
    <x v="2"/>
    <x v="15"/>
    <x v="3"/>
    <m/>
  </r>
  <r>
    <x v="7"/>
    <d v="2026-01-11T00:00:00"/>
    <x v="6"/>
    <n v="15"/>
    <s v="CAÑA CHAQUETA"/>
    <x v="1"/>
    <x v="104"/>
    <x v="10"/>
    <x v="30"/>
    <x v="2"/>
    <x v="15"/>
    <x v="3"/>
    <m/>
  </r>
  <r>
    <x v="7"/>
    <d v="2026-01-11T00:00:00"/>
    <x v="6"/>
    <n v="15"/>
    <s v="CAÑA CHAQUETA"/>
    <x v="1"/>
    <x v="104"/>
    <x v="10"/>
    <x v="25"/>
    <x v="2"/>
    <x v="15"/>
    <x v="3"/>
    <m/>
  </r>
  <r>
    <x v="7"/>
    <d v="2026-01-11T00:00:00"/>
    <x v="6"/>
    <n v="15"/>
    <s v="CAÑA CHAQUETA"/>
    <x v="1"/>
    <x v="104"/>
    <x v="10"/>
    <x v="17"/>
    <x v="2"/>
    <x v="11"/>
    <x v="3"/>
    <m/>
  </r>
  <r>
    <x v="7"/>
    <d v="2026-01-11T00:00:00"/>
    <x v="6"/>
    <n v="15"/>
    <s v="CAÑA CHAQUETA"/>
    <x v="1"/>
    <x v="104"/>
    <x v="9"/>
    <x v="17"/>
    <x v="3"/>
    <x v="11"/>
    <x v="3"/>
    <m/>
  </r>
  <r>
    <x v="7"/>
    <d v="2026-01-11T00:00:00"/>
    <x v="6"/>
    <n v="15"/>
    <s v="CAÑA CHAQUETA"/>
    <x v="1"/>
    <x v="104"/>
    <x v="12"/>
    <x v="17"/>
    <x v="5"/>
    <x v="11"/>
    <x v="3"/>
    <m/>
  </r>
  <r>
    <x v="7"/>
    <d v="2026-01-11T00:00:00"/>
    <x v="6"/>
    <n v="15"/>
    <s v="CAÑA CHAQUETA"/>
    <x v="1"/>
    <x v="104"/>
    <x v="10"/>
    <x v="26"/>
    <x v="3"/>
    <x v="14"/>
    <x v="3"/>
    <m/>
  </r>
  <r>
    <x v="7"/>
    <d v="2026-01-11T00:00:00"/>
    <x v="6"/>
    <n v="15"/>
    <s v="CAÑA CHAQUETA"/>
    <x v="1"/>
    <x v="104"/>
    <x v="3"/>
    <x v="30"/>
    <x v="4"/>
    <x v="15"/>
    <x v="3"/>
    <m/>
  </r>
  <r>
    <x v="7"/>
    <d v="2026-01-11T00:00:00"/>
    <x v="6"/>
    <n v="15"/>
    <s v="CAÑA CHAQUETA"/>
    <x v="1"/>
    <x v="104"/>
    <x v="13"/>
    <x v="30"/>
    <x v="4"/>
    <x v="11"/>
    <x v="3"/>
    <m/>
  </r>
  <r>
    <x v="7"/>
    <d v="2026-01-11T00:00:00"/>
    <x v="6"/>
    <n v="15"/>
    <s v="CAÑA CHAQUETA"/>
    <x v="1"/>
    <x v="104"/>
    <x v="12"/>
    <x v="17"/>
    <x v="5"/>
    <x v="11"/>
    <x v="3"/>
    <m/>
  </r>
  <r>
    <x v="7"/>
    <d v="2026-01-11T00:00:00"/>
    <x v="6"/>
    <n v="15"/>
    <s v="CAÑA CHAQUETA"/>
    <x v="1"/>
    <x v="104"/>
    <x v="12"/>
    <x v="26"/>
    <x v="3"/>
    <x v="11"/>
    <x v="3"/>
    <m/>
  </r>
  <r>
    <x v="7"/>
    <d v="2026-01-11T00:00:00"/>
    <x v="6"/>
    <n v="15"/>
    <s v="CAÑA CHAQUETA"/>
    <x v="1"/>
    <x v="104"/>
    <x v="11"/>
    <x v="17"/>
    <x v="3"/>
    <x v="20"/>
    <x v="3"/>
    <m/>
  </r>
  <r>
    <x v="7"/>
    <d v="2026-01-11T00:00:00"/>
    <x v="6"/>
    <n v="15"/>
    <s v="CAÑA CHAQUETA"/>
    <x v="1"/>
    <x v="104"/>
    <x v="11"/>
    <x v="17"/>
    <x v="2"/>
    <x v="20"/>
    <x v="3"/>
    <m/>
  </r>
  <r>
    <x v="7"/>
    <d v="2026-01-11T00:00:00"/>
    <x v="6"/>
    <n v="15"/>
    <s v="CAÑA CHAQUETA"/>
    <x v="1"/>
    <x v="104"/>
    <x v="13"/>
    <x v="17"/>
    <x v="5"/>
    <x v="11"/>
    <x v="3"/>
    <m/>
  </r>
  <r>
    <x v="7"/>
    <d v="2026-01-11T00:00:00"/>
    <x v="6"/>
    <n v="15"/>
    <s v="CAÑA CHAQUETA"/>
    <x v="1"/>
    <x v="104"/>
    <x v="13"/>
    <x v="20"/>
    <x v="5"/>
    <x v="11"/>
    <x v="3"/>
    <m/>
  </r>
  <r>
    <x v="7"/>
    <d v="2026-01-11T00:00:00"/>
    <x v="6"/>
    <n v="15"/>
    <s v="CAÑA CHAQUETA"/>
    <x v="1"/>
    <x v="104"/>
    <x v="0"/>
    <x v="17"/>
    <x v="3"/>
    <x v="20"/>
    <x v="3"/>
    <m/>
  </r>
  <r>
    <x v="7"/>
    <d v="2026-01-11T00:00:00"/>
    <x v="6"/>
    <n v="15"/>
    <s v="CAÑA CHAQUETA"/>
    <x v="1"/>
    <x v="104"/>
    <x v="8"/>
    <x v="17"/>
    <x v="3"/>
    <x v="11"/>
    <x v="3"/>
    <m/>
  </r>
  <r>
    <x v="7"/>
    <d v="2026-01-11T00:00:00"/>
    <x v="6"/>
    <n v="15"/>
    <s v="CAÑA CHAQUETA"/>
    <x v="1"/>
    <x v="104"/>
    <x v="8"/>
    <x v="17"/>
    <x v="3"/>
    <x v="11"/>
    <x v="3"/>
    <m/>
  </r>
  <r>
    <x v="7"/>
    <d v="2026-01-11T00:00:00"/>
    <x v="6"/>
    <n v="15"/>
    <s v="CAÑA CHAQUETA"/>
    <x v="1"/>
    <x v="104"/>
    <x v="2"/>
    <x v="17"/>
    <x v="5"/>
    <x v="19"/>
    <x v="3"/>
    <m/>
  </r>
  <r>
    <x v="7"/>
    <d v="2026-01-11T00:00:00"/>
    <x v="6"/>
    <n v="15"/>
    <s v="CAÑA CHAQUETA"/>
    <x v="1"/>
    <x v="104"/>
    <x v="3"/>
    <x v="25"/>
    <x v="3"/>
    <x v="19"/>
    <x v="3"/>
    <m/>
  </r>
  <r>
    <x v="7"/>
    <d v="2026-01-11T00:00:00"/>
    <x v="6"/>
    <n v="15"/>
    <s v="CAÑA CHAQUETA"/>
    <x v="1"/>
    <x v="104"/>
    <x v="23"/>
    <x v="20"/>
    <x v="5"/>
    <x v="11"/>
    <x v="3"/>
    <m/>
  </r>
  <r>
    <x v="7"/>
    <d v="2026-01-11T00:00:00"/>
    <x v="6"/>
    <n v="15"/>
    <s v="CAÑA CHAQUETA"/>
    <x v="1"/>
    <x v="104"/>
    <x v="23"/>
    <x v="20"/>
    <x v="5"/>
    <x v="11"/>
    <x v="3"/>
    <m/>
  </r>
  <r>
    <x v="7"/>
    <d v="2026-01-11T00:00:00"/>
    <x v="6"/>
    <n v="15"/>
    <s v="CAÑA CHAQUETA"/>
    <x v="1"/>
    <x v="104"/>
    <x v="23"/>
    <x v="20"/>
    <x v="5"/>
    <x v="11"/>
    <x v="3"/>
    <m/>
  </r>
  <r>
    <x v="7"/>
    <d v="2026-01-11T00:00:00"/>
    <x v="6"/>
    <n v="15"/>
    <s v="CAÑA CHAQUETA"/>
    <x v="1"/>
    <x v="104"/>
    <x v="23"/>
    <x v="20"/>
    <x v="5"/>
    <x v="11"/>
    <x v="3"/>
    <m/>
  </r>
  <r>
    <x v="7"/>
    <d v="2026-01-11T00:00:00"/>
    <x v="6"/>
    <n v="15"/>
    <s v="CAÑA CHAQUETA"/>
    <x v="1"/>
    <x v="104"/>
    <x v="23"/>
    <x v="20"/>
    <x v="5"/>
    <x v="11"/>
    <x v="3"/>
    <m/>
  </r>
  <r>
    <x v="7"/>
    <d v="2026-01-11T00:00:00"/>
    <x v="6"/>
    <n v="15"/>
    <s v="CAÑA CHAQUETA"/>
    <x v="1"/>
    <x v="104"/>
    <x v="23"/>
    <x v="20"/>
    <x v="5"/>
    <x v="11"/>
    <x v="3"/>
    <m/>
  </r>
  <r>
    <x v="7"/>
    <d v="2026-01-11T00:00:00"/>
    <x v="6"/>
    <n v="15"/>
    <s v="CAÑA CHAQUETA"/>
    <x v="1"/>
    <x v="104"/>
    <x v="23"/>
    <x v="20"/>
    <x v="5"/>
    <x v="11"/>
    <x v="3"/>
    <m/>
  </r>
  <r>
    <x v="7"/>
    <d v="2026-01-11T00:00:00"/>
    <x v="6"/>
    <n v="15"/>
    <s v="CAÑA CHAQUETA"/>
    <x v="1"/>
    <x v="104"/>
    <x v="23"/>
    <x v="20"/>
    <x v="5"/>
    <x v="11"/>
    <x v="3"/>
    <m/>
  </r>
  <r>
    <x v="7"/>
    <d v="2026-01-11T00:00:00"/>
    <x v="6"/>
    <n v="15"/>
    <s v="CAÑA CHAQUETA"/>
    <x v="1"/>
    <x v="104"/>
    <x v="23"/>
    <x v="20"/>
    <x v="5"/>
    <x v="11"/>
    <x v="3"/>
    <m/>
  </r>
  <r>
    <x v="7"/>
    <d v="2026-01-11T00:00:00"/>
    <x v="6"/>
    <n v="15"/>
    <s v="CAÑA CHAQUETA"/>
    <x v="1"/>
    <x v="104"/>
    <x v="23"/>
    <x v="20"/>
    <x v="5"/>
    <x v="11"/>
    <x v="3"/>
    <m/>
  </r>
  <r>
    <x v="7"/>
    <d v="2026-01-11T00:00:00"/>
    <x v="6"/>
    <n v="15"/>
    <s v="CAÑA CHAQUETA"/>
    <x v="1"/>
    <x v="104"/>
    <x v="23"/>
    <x v="20"/>
    <x v="5"/>
    <x v="11"/>
    <x v="3"/>
    <m/>
  </r>
  <r>
    <x v="7"/>
    <d v="2026-01-11T00:00:00"/>
    <x v="6"/>
    <n v="15"/>
    <s v="CAÑA CHAQUETA"/>
    <x v="1"/>
    <x v="104"/>
    <x v="23"/>
    <x v="20"/>
    <x v="5"/>
    <x v="11"/>
    <x v="3"/>
    <m/>
  </r>
  <r>
    <x v="7"/>
    <d v="2026-01-11T00:00:00"/>
    <x v="6"/>
    <n v="15"/>
    <s v="CAÑA CHAQUETA"/>
    <x v="1"/>
    <x v="104"/>
    <x v="23"/>
    <x v="20"/>
    <x v="5"/>
    <x v="11"/>
    <x v="3"/>
    <m/>
  </r>
  <r>
    <x v="7"/>
    <d v="2026-01-11T00:00:00"/>
    <x v="6"/>
    <n v="15"/>
    <s v="CAÑA CHAQUETA"/>
    <x v="1"/>
    <x v="104"/>
    <x v="23"/>
    <x v="20"/>
    <x v="5"/>
    <x v="11"/>
    <x v="3"/>
    <m/>
  </r>
  <r>
    <x v="7"/>
    <d v="2026-01-11T00:00:00"/>
    <x v="6"/>
    <n v="15"/>
    <s v="CAÑA CHAQUETA"/>
    <x v="1"/>
    <x v="104"/>
    <x v="23"/>
    <x v="20"/>
    <x v="5"/>
    <x v="11"/>
    <x v="3"/>
    <m/>
  </r>
  <r>
    <x v="7"/>
    <d v="2026-01-11T00:00:00"/>
    <x v="6"/>
    <n v="15"/>
    <s v="CAÑA CHAQUETA"/>
    <x v="1"/>
    <x v="104"/>
    <x v="23"/>
    <x v="20"/>
    <x v="5"/>
    <x v="11"/>
    <x v="3"/>
    <m/>
  </r>
  <r>
    <x v="7"/>
    <d v="2026-01-11T00:00:00"/>
    <x v="6"/>
    <n v="15"/>
    <s v="CAÑA CHAQUETA"/>
    <x v="1"/>
    <x v="104"/>
    <x v="23"/>
    <x v="20"/>
    <x v="5"/>
    <x v="11"/>
    <x v="3"/>
    <m/>
  </r>
  <r>
    <x v="7"/>
    <d v="2026-01-11T00:00:00"/>
    <x v="6"/>
    <n v="15"/>
    <s v="CAÑA CHAQUETA"/>
    <x v="1"/>
    <x v="104"/>
    <x v="23"/>
    <x v="20"/>
    <x v="5"/>
    <x v="11"/>
    <x v="3"/>
    <m/>
  </r>
  <r>
    <x v="7"/>
    <d v="2026-01-11T00:00:00"/>
    <x v="6"/>
    <n v="15"/>
    <s v="CAÑA CHAQUETA"/>
    <x v="1"/>
    <x v="104"/>
    <x v="23"/>
    <x v="20"/>
    <x v="5"/>
    <x v="11"/>
    <x v="3"/>
    <m/>
  </r>
  <r>
    <x v="7"/>
    <d v="2026-01-11T00:00:00"/>
    <x v="6"/>
    <n v="15"/>
    <s v="CAÑA CHAQUETA"/>
    <x v="1"/>
    <x v="104"/>
    <x v="23"/>
    <x v="20"/>
    <x v="5"/>
    <x v="11"/>
    <x v="3"/>
    <m/>
  </r>
  <r>
    <x v="7"/>
    <d v="2026-01-11T00:00:00"/>
    <x v="6"/>
    <n v="15"/>
    <s v="CAÑA CHAQUETA"/>
    <x v="1"/>
    <x v="104"/>
    <x v="23"/>
    <x v="20"/>
    <x v="5"/>
    <x v="11"/>
    <x v="3"/>
    <m/>
  </r>
  <r>
    <x v="7"/>
    <d v="2026-01-11T00:00:00"/>
    <x v="6"/>
    <n v="15"/>
    <s v="CAÑA CHAQUETA"/>
    <x v="1"/>
    <x v="104"/>
    <x v="23"/>
    <x v="20"/>
    <x v="5"/>
    <x v="11"/>
    <x v="3"/>
    <m/>
  </r>
  <r>
    <x v="8"/>
    <d v="2026-01-19T00:00:00"/>
    <x v="7"/>
    <n v="16"/>
    <s v="Municipal Maracena"/>
    <x v="1"/>
    <x v="97"/>
    <x v="3"/>
    <x v="24"/>
    <x v="3"/>
    <x v="14"/>
    <x v="3"/>
    <m/>
  </r>
  <r>
    <x v="8"/>
    <d v="2026-01-19T00:00:00"/>
    <x v="7"/>
    <n v="16"/>
    <s v="Municipal Maracena"/>
    <x v="1"/>
    <x v="97"/>
    <x v="0"/>
    <x v="24"/>
    <x v="3"/>
    <x v="20"/>
    <x v="3"/>
    <m/>
  </r>
  <r>
    <x v="8"/>
    <d v="2026-01-19T00:00:00"/>
    <x v="7"/>
    <n v="16"/>
    <s v="Municipal Maracena"/>
    <x v="1"/>
    <x v="97"/>
    <x v="18"/>
    <x v="24"/>
    <x v="3"/>
    <x v="20"/>
    <x v="3"/>
    <m/>
  </r>
  <r>
    <x v="8"/>
    <d v="2026-01-19T00:00:00"/>
    <x v="7"/>
    <n v="16"/>
    <s v="Municipal Maracena"/>
    <x v="1"/>
    <x v="97"/>
    <x v="2"/>
    <x v="27"/>
    <x v="3"/>
    <x v="22"/>
    <x v="3"/>
    <m/>
  </r>
  <r>
    <x v="8"/>
    <d v="2026-01-19T00:00:00"/>
    <x v="7"/>
    <n v="16"/>
    <s v="Municipal Maracena"/>
    <x v="1"/>
    <x v="97"/>
    <x v="0"/>
    <x v="32"/>
    <x v="3"/>
    <x v="20"/>
    <x v="3"/>
    <m/>
  </r>
  <r>
    <x v="8"/>
    <d v="2026-01-19T00:00:00"/>
    <x v="7"/>
    <n v="16"/>
    <s v="Municipal Maracena"/>
    <x v="1"/>
    <x v="97"/>
    <x v="8"/>
    <x v="17"/>
    <x v="3"/>
    <x v="14"/>
    <x v="3"/>
    <m/>
  </r>
  <r>
    <x v="8"/>
    <d v="2026-01-19T00:00:00"/>
    <x v="7"/>
    <n v="16"/>
    <s v="Municipal Maracena"/>
    <x v="1"/>
    <x v="97"/>
    <x v="8"/>
    <x v="25"/>
    <x v="3"/>
    <x v="14"/>
    <x v="3"/>
    <m/>
  </r>
  <r>
    <x v="8"/>
    <d v="2026-01-19T00:00:00"/>
    <x v="7"/>
    <n v="16"/>
    <s v="Municipal Maracena"/>
    <x v="1"/>
    <x v="97"/>
    <x v="1"/>
    <x v="32"/>
    <x v="3"/>
    <x v="16"/>
    <x v="3"/>
    <m/>
  </r>
  <r>
    <x v="8"/>
    <d v="2026-01-19T00:00:00"/>
    <x v="7"/>
    <n v="16"/>
    <s v="Municipal Maracena"/>
    <x v="1"/>
    <x v="97"/>
    <x v="1"/>
    <x v="32"/>
    <x v="3"/>
    <x v="19"/>
    <x v="3"/>
    <m/>
  </r>
  <r>
    <x v="8"/>
    <d v="2026-01-19T00:00:00"/>
    <x v="7"/>
    <n v="16"/>
    <s v="Municipal Maracena"/>
    <x v="1"/>
    <x v="97"/>
    <x v="13"/>
    <x v="24"/>
    <x v="3"/>
    <x v="19"/>
    <x v="3"/>
    <m/>
  </r>
  <r>
    <x v="8"/>
    <d v="2026-01-19T00:00:00"/>
    <x v="7"/>
    <n v="16"/>
    <s v="Municipal Maracena"/>
    <x v="1"/>
    <x v="97"/>
    <x v="13"/>
    <x v="17"/>
    <x v="3"/>
    <x v="19"/>
    <x v="3"/>
    <m/>
  </r>
  <r>
    <x v="8"/>
    <d v="2026-01-19T00:00:00"/>
    <x v="7"/>
    <n v="16"/>
    <s v="Municipal Maracena"/>
    <x v="1"/>
    <x v="97"/>
    <x v="9"/>
    <x v="8"/>
    <x v="3"/>
    <x v="15"/>
    <x v="3"/>
    <s v="Aéreo"/>
  </r>
  <r>
    <x v="8"/>
    <d v="2026-01-19T00:00:00"/>
    <x v="7"/>
    <n v="16"/>
    <s v="Municipal Maracena"/>
    <x v="1"/>
    <x v="97"/>
    <x v="18"/>
    <x v="17"/>
    <x v="3"/>
    <x v="20"/>
    <x v="3"/>
    <m/>
  </r>
  <r>
    <x v="8"/>
    <d v="2026-01-19T00:00:00"/>
    <x v="7"/>
    <n v="16"/>
    <s v="Municipal Maracena"/>
    <x v="1"/>
    <x v="97"/>
    <x v="12"/>
    <x v="25"/>
    <x v="2"/>
    <x v="14"/>
    <x v="3"/>
    <m/>
  </r>
  <r>
    <x v="8"/>
    <d v="2026-01-19T00:00:00"/>
    <x v="7"/>
    <n v="16"/>
    <s v="Municipal Maracena"/>
    <x v="1"/>
    <x v="97"/>
    <x v="9"/>
    <x v="32"/>
    <x v="3"/>
    <x v="18"/>
    <x v="3"/>
    <m/>
  </r>
  <r>
    <x v="8"/>
    <d v="2026-01-19T00:00:00"/>
    <x v="7"/>
    <n v="16"/>
    <s v="Municipal Maracena"/>
    <x v="1"/>
    <x v="97"/>
    <x v="5"/>
    <x v="28"/>
    <x v="5"/>
    <x v="14"/>
    <x v="3"/>
    <m/>
  </r>
  <r>
    <x v="8"/>
    <d v="2026-01-19T00:00:00"/>
    <x v="7"/>
    <n v="16"/>
    <s v="Municipal Maracena"/>
    <x v="1"/>
    <x v="97"/>
    <x v="5"/>
    <x v="24"/>
    <x v="3"/>
    <x v="20"/>
    <x v="3"/>
    <m/>
  </r>
  <r>
    <x v="8"/>
    <d v="2026-01-19T00:00:00"/>
    <x v="7"/>
    <n v="16"/>
    <s v="Municipal Maracena"/>
    <x v="1"/>
    <x v="97"/>
    <x v="2"/>
    <x v="17"/>
    <x v="2"/>
    <x v="19"/>
    <x v="3"/>
    <s v="A"/>
  </r>
  <r>
    <x v="8"/>
    <d v="2026-01-19T00:00:00"/>
    <x v="7"/>
    <n v="16"/>
    <s v="Municipal Maracena"/>
    <x v="1"/>
    <x v="97"/>
    <x v="12"/>
    <x v="8"/>
    <x v="2"/>
    <x v="17"/>
    <x v="3"/>
    <m/>
  </r>
  <r>
    <x v="8"/>
    <d v="2026-01-19T00:00:00"/>
    <x v="7"/>
    <n v="16"/>
    <s v="Municipal Maracena"/>
    <x v="1"/>
    <x v="97"/>
    <x v="8"/>
    <x v="17"/>
    <x v="3"/>
    <x v="14"/>
    <x v="3"/>
    <m/>
  </r>
  <r>
    <x v="8"/>
    <d v="2026-01-19T00:00:00"/>
    <x v="7"/>
    <n v="16"/>
    <s v="Municipal Maracena"/>
    <x v="1"/>
    <x v="97"/>
    <x v="12"/>
    <x v="25"/>
    <x v="2"/>
    <x v="14"/>
    <x v="3"/>
    <m/>
  </r>
  <r>
    <x v="8"/>
    <d v="2026-01-19T00:00:00"/>
    <x v="7"/>
    <n v="16"/>
    <s v="Municipal Maracena"/>
    <x v="1"/>
    <x v="97"/>
    <x v="12"/>
    <x v="32"/>
    <x v="3"/>
    <x v="14"/>
    <x v="3"/>
    <m/>
  </r>
  <r>
    <x v="8"/>
    <d v="2026-01-19T00:00:00"/>
    <x v="7"/>
    <n v="16"/>
    <s v="Municipal Maracena"/>
    <x v="1"/>
    <x v="97"/>
    <x v="1"/>
    <x v="32"/>
    <x v="3"/>
    <x v="16"/>
    <x v="3"/>
    <m/>
  </r>
  <r>
    <x v="8"/>
    <d v="2026-01-19T00:00:00"/>
    <x v="7"/>
    <n v="16"/>
    <s v="Municipal Maracena"/>
    <x v="1"/>
    <x v="97"/>
    <x v="9"/>
    <x v="32"/>
    <x v="2"/>
    <x v="16"/>
    <x v="3"/>
    <m/>
  </r>
  <r>
    <x v="8"/>
    <d v="2026-01-19T00:00:00"/>
    <x v="7"/>
    <n v="16"/>
    <s v="Municipal Maracena"/>
    <x v="1"/>
    <x v="97"/>
    <x v="1"/>
    <x v="17"/>
    <x v="2"/>
    <x v="16"/>
    <x v="3"/>
    <s v="A"/>
  </r>
  <r>
    <x v="8"/>
    <d v="2026-01-19T00:00:00"/>
    <x v="7"/>
    <n v="16"/>
    <s v="Municipal Maracena"/>
    <x v="1"/>
    <x v="97"/>
    <x v="13"/>
    <x v="24"/>
    <x v="3"/>
    <x v="20"/>
    <x v="3"/>
    <m/>
  </r>
  <r>
    <x v="8"/>
    <d v="2026-01-19T00:00:00"/>
    <x v="7"/>
    <n v="16"/>
    <s v="Municipal Maracena"/>
    <x v="1"/>
    <x v="97"/>
    <x v="18"/>
    <x v="24"/>
    <x v="3"/>
    <x v="20"/>
    <x v="3"/>
    <m/>
  </r>
  <r>
    <x v="8"/>
    <d v="2026-01-19T00:00:00"/>
    <x v="7"/>
    <n v="16"/>
    <s v="Municipal Maracena"/>
    <x v="1"/>
    <x v="97"/>
    <x v="0"/>
    <x v="24"/>
    <x v="3"/>
    <x v="20"/>
    <x v="3"/>
    <m/>
  </r>
  <r>
    <x v="8"/>
    <d v="2026-01-19T00:00:00"/>
    <x v="7"/>
    <n v="16"/>
    <s v="Municipal Maracena"/>
    <x v="1"/>
    <x v="97"/>
    <x v="8"/>
    <x v="26"/>
    <x v="2"/>
    <x v="14"/>
    <x v="3"/>
    <m/>
  </r>
  <r>
    <x v="8"/>
    <d v="2026-01-19T00:00:00"/>
    <x v="7"/>
    <n v="16"/>
    <s v="Municipal Maracena"/>
    <x v="1"/>
    <x v="97"/>
    <x v="1"/>
    <x v="26"/>
    <x v="3"/>
    <x v="16"/>
    <x v="3"/>
    <m/>
  </r>
  <r>
    <x v="8"/>
    <d v="2026-01-19T00:00:00"/>
    <x v="7"/>
    <n v="16"/>
    <s v="Municipal Maracena"/>
    <x v="1"/>
    <x v="97"/>
    <x v="2"/>
    <x v="17"/>
    <x v="2"/>
    <x v="19"/>
    <x v="3"/>
    <m/>
  </r>
  <r>
    <x v="8"/>
    <d v="2026-01-19T00:00:00"/>
    <x v="7"/>
    <n v="16"/>
    <s v="Municipal Maracena"/>
    <x v="1"/>
    <x v="97"/>
    <x v="8"/>
    <x v="25"/>
    <x v="2"/>
    <x v="17"/>
    <x v="3"/>
    <m/>
  </r>
  <r>
    <x v="8"/>
    <d v="2026-01-19T00:00:00"/>
    <x v="7"/>
    <n v="16"/>
    <s v="Municipal Maracena"/>
    <x v="1"/>
    <x v="97"/>
    <x v="18"/>
    <x v="24"/>
    <x v="3"/>
    <x v="20"/>
    <x v="3"/>
    <m/>
  </r>
  <r>
    <x v="8"/>
    <d v="2026-01-19T00:00:00"/>
    <x v="7"/>
    <n v="16"/>
    <s v="Municipal Maracena"/>
    <x v="1"/>
    <x v="97"/>
    <x v="1"/>
    <x v="24"/>
    <x v="3"/>
    <x v="16"/>
    <x v="3"/>
    <m/>
  </r>
  <r>
    <x v="8"/>
    <d v="2026-01-19T00:00:00"/>
    <x v="7"/>
    <n v="16"/>
    <s v="Municipal Maracena"/>
    <x v="1"/>
    <x v="97"/>
    <x v="3"/>
    <x v="8"/>
    <x v="2"/>
    <x v="17"/>
    <x v="3"/>
    <m/>
  </r>
  <r>
    <x v="8"/>
    <d v="2026-01-19T00:00:00"/>
    <x v="7"/>
    <n v="16"/>
    <s v="Municipal Maracena"/>
    <x v="1"/>
    <x v="97"/>
    <x v="13"/>
    <x v="24"/>
    <x v="3"/>
    <x v="20"/>
    <x v="3"/>
    <m/>
  </r>
  <r>
    <x v="8"/>
    <d v="2026-01-19T00:00:00"/>
    <x v="7"/>
    <n v="16"/>
    <s v="Municipal Maracena"/>
    <x v="1"/>
    <x v="97"/>
    <x v="5"/>
    <x v="24"/>
    <x v="3"/>
    <x v="20"/>
    <x v="3"/>
    <m/>
  </r>
  <r>
    <x v="8"/>
    <d v="2026-01-19T00:00:00"/>
    <x v="7"/>
    <n v="16"/>
    <s v="Municipal Maracena"/>
    <x v="1"/>
    <x v="97"/>
    <x v="18"/>
    <x v="24"/>
    <x v="3"/>
    <x v="20"/>
    <x v="3"/>
    <m/>
  </r>
  <r>
    <x v="8"/>
    <d v="2026-01-19T00:00:00"/>
    <x v="7"/>
    <n v="16"/>
    <s v="Municipal Maracena"/>
    <x v="1"/>
    <x v="97"/>
    <x v="3"/>
    <x v="30"/>
    <x v="4"/>
    <x v="15"/>
    <x v="3"/>
    <m/>
  </r>
  <r>
    <x v="8"/>
    <d v="2026-01-19T00:00:00"/>
    <x v="7"/>
    <n v="16"/>
    <s v="Municipal Maracena"/>
    <x v="1"/>
    <x v="100"/>
    <x v="13"/>
    <x v="30"/>
    <x v="4"/>
    <x v="15"/>
    <x v="3"/>
    <m/>
  </r>
  <r>
    <x v="8"/>
    <d v="2026-01-19T00:00:00"/>
    <x v="7"/>
    <n v="16"/>
    <s v="Municipal Maracena"/>
    <x v="1"/>
    <x v="100"/>
    <x v="13"/>
    <x v="17"/>
    <x v="3"/>
    <x v="15"/>
    <x v="3"/>
    <m/>
  </r>
  <r>
    <x v="8"/>
    <d v="2026-01-19T00:00:00"/>
    <x v="7"/>
    <n v="16"/>
    <s v="Municipal Maracena"/>
    <x v="1"/>
    <x v="100"/>
    <x v="9"/>
    <x v="32"/>
    <x v="3"/>
    <x v="18"/>
    <x v="3"/>
    <m/>
  </r>
  <r>
    <x v="8"/>
    <d v="2026-01-19T00:00:00"/>
    <x v="7"/>
    <n v="16"/>
    <s v="Municipal Maracena"/>
    <x v="1"/>
    <x v="100"/>
    <x v="13"/>
    <x v="26"/>
    <x v="3"/>
    <x v="15"/>
    <x v="3"/>
    <m/>
  </r>
  <r>
    <x v="8"/>
    <d v="2026-01-19T00:00:00"/>
    <x v="7"/>
    <n v="16"/>
    <s v="Municipal Maracena"/>
    <x v="1"/>
    <x v="100"/>
    <x v="13"/>
    <x v="29"/>
    <x v="3"/>
    <x v="15"/>
    <x v="3"/>
    <m/>
  </r>
  <r>
    <x v="8"/>
    <d v="2026-01-19T00:00:00"/>
    <x v="7"/>
    <n v="16"/>
    <s v="Municipal Maracena"/>
    <x v="1"/>
    <x v="100"/>
    <x v="13"/>
    <x v="29"/>
    <x v="3"/>
    <x v="15"/>
    <x v="3"/>
    <m/>
  </r>
  <r>
    <x v="8"/>
    <d v="2026-01-19T00:00:00"/>
    <x v="7"/>
    <n v="16"/>
    <s v="Municipal Maracena"/>
    <x v="1"/>
    <x v="100"/>
    <x v="18"/>
    <x v="32"/>
    <x v="3"/>
    <x v="20"/>
    <x v="3"/>
    <m/>
  </r>
  <r>
    <x v="8"/>
    <d v="2026-01-19T00:00:00"/>
    <x v="7"/>
    <n v="16"/>
    <s v="Municipal Maracena"/>
    <x v="1"/>
    <x v="100"/>
    <x v="8"/>
    <x v="25"/>
    <x v="2"/>
    <x v="15"/>
    <x v="3"/>
    <m/>
  </r>
  <r>
    <x v="8"/>
    <d v="2026-01-19T00:00:00"/>
    <x v="7"/>
    <n v="16"/>
    <s v="Municipal Maracena"/>
    <x v="1"/>
    <x v="100"/>
    <x v="5"/>
    <x v="32"/>
    <x v="3"/>
    <x v="18"/>
    <x v="3"/>
    <m/>
  </r>
  <r>
    <x v="8"/>
    <d v="2026-01-19T00:00:00"/>
    <x v="7"/>
    <n v="16"/>
    <s v="Municipal Maracena"/>
    <x v="1"/>
    <x v="100"/>
    <x v="2"/>
    <x v="8"/>
    <x v="3"/>
    <x v="21"/>
    <x v="3"/>
    <m/>
  </r>
  <r>
    <x v="8"/>
    <d v="2026-01-19T00:00:00"/>
    <x v="7"/>
    <n v="16"/>
    <s v="Municipal Maracena"/>
    <x v="1"/>
    <x v="100"/>
    <x v="5"/>
    <x v="24"/>
    <x v="3"/>
    <x v="20"/>
    <x v="3"/>
    <m/>
  </r>
  <r>
    <x v="8"/>
    <d v="2026-01-19T00:00:00"/>
    <x v="7"/>
    <n v="16"/>
    <s v="Municipal Maracena"/>
    <x v="1"/>
    <x v="100"/>
    <x v="12"/>
    <x v="8"/>
    <x v="3"/>
    <x v="14"/>
    <x v="3"/>
    <m/>
  </r>
  <r>
    <x v="8"/>
    <d v="2026-01-19T00:00:00"/>
    <x v="7"/>
    <n v="16"/>
    <s v="Municipal Maracena"/>
    <x v="1"/>
    <x v="100"/>
    <x v="5"/>
    <x v="27"/>
    <x v="3"/>
    <x v="14"/>
    <x v="3"/>
    <m/>
  </r>
  <r>
    <x v="8"/>
    <d v="2026-01-19T00:00:00"/>
    <x v="7"/>
    <n v="16"/>
    <s v="Municipal Maracena"/>
    <x v="1"/>
    <x v="100"/>
    <x v="5"/>
    <x v="24"/>
    <x v="3"/>
    <x v="14"/>
    <x v="3"/>
    <m/>
  </r>
  <r>
    <x v="8"/>
    <d v="2026-01-19T00:00:00"/>
    <x v="7"/>
    <n v="16"/>
    <s v="Municipal Maracena"/>
    <x v="1"/>
    <x v="100"/>
    <x v="5"/>
    <x v="32"/>
    <x v="3"/>
    <x v="14"/>
    <x v="3"/>
    <m/>
  </r>
  <r>
    <x v="8"/>
    <d v="2026-01-19T00:00:00"/>
    <x v="7"/>
    <n v="16"/>
    <s v="Municipal Maracena"/>
    <x v="1"/>
    <x v="100"/>
    <x v="12"/>
    <x v="17"/>
    <x v="3"/>
    <x v="14"/>
    <x v="3"/>
    <m/>
  </r>
  <r>
    <x v="8"/>
    <d v="2026-01-19T00:00:00"/>
    <x v="7"/>
    <n v="16"/>
    <s v="Municipal Maracena"/>
    <x v="1"/>
    <x v="100"/>
    <x v="8"/>
    <x v="17"/>
    <x v="3"/>
    <x v="14"/>
    <x v="3"/>
    <m/>
  </r>
  <r>
    <x v="8"/>
    <d v="2026-01-19T00:00:00"/>
    <x v="7"/>
    <n v="16"/>
    <s v="Municipal Maracena"/>
    <x v="1"/>
    <x v="100"/>
    <x v="8"/>
    <x v="26"/>
    <x v="3"/>
    <x v="14"/>
    <x v="3"/>
    <m/>
  </r>
  <r>
    <x v="8"/>
    <d v="2026-01-19T00:00:00"/>
    <x v="7"/>
    <n v="16"/>
    <s v="Municipal Maracena"/>
    <x v="1"/>
    <x v="100"/>
    <x v="2"/>
    <x v="17"/>
    <x v="2"/>
    <x v="15"/>
    <x v="3"/>
    <m/>
  </r>
  <r>
    <x v="8"/>
    <d v="2026-01-19T00:00:00"/>
    <x v="7"/>
    <n v="16"/>
    <s v="Municipal Maracena"/>
    <x v="1"/>
    <x v="100"/>
    <x v="5"/>
    <x v="17"/>
    <x v="3"/>
    <x v="20"/>
    <x v="3"/>
    <m/>
  </r>
  <r>
    <x v="8"/>
    <d v="2026-01-19T00:00:00"/>
    <x v="7"/>
    <n v="16"/>
    <s v="Municipal Maracena"/>
    <x v="1"/>
    <x v="100"/>
    <x v="0"/>
    <x v="28"/>
    <x v="3"/>
    <x v="20"/>
    <x v="3"/>
    <m/>
  </r>
  <r>
    <x v="8"/>
    <d v="2026-01-19T00:00:00"/>
    <x v="7"/>
    <n v="16"/>
    <s v="Municipal Maracena"/>
    <x v="1"/>
    <x v="100"/>
    <x v="0"/>
    <x v="24"/>
    <x v="3"/>
    <x v="20"/>
    <x v="3"/>
    <m/>
  </r>
  <r>
    <x v="8"/>
    <d v="2026-01-19T00:00:00"/>
    <x v="7"/>
    <n v="16"/>
    <s v="Municipal Maracena"/>
    <x v="1"/>
    <x v="100"/>
    <x v="8"/>
    <x v="8"/>
    <x v="3"/>
    <x v="15"/>
    <x v="3"/>
    <m/>
  </r>
  <r>
    <x v="8"/>
    <d v="2026-01-19T00:00:00"/>
    <x v="7"/>
    <n v="16"/>
    <s v="Municipal Maracena"/>
    <x v="1"/>
    <x v="100"/>
    <x v="18"/>
    <x v="32"/>
    <x v="3"/>
    <x v="20"/>
    <x v="3"/>
    <m/>
  </r>
  <r>
    <x v="8"/>
    <d v="2026-01-19T00:00:00"/>
    <x v="7"/>
    <n v="16"/>
    <s v="Municipal Maracena"/>
    <x v="1"/>
    <x v="100"/>
    <x v="18"/>
    <x v="26"/>
    <x v="3"/>
    <x v="16"/>
    <x v="3"/>
    <m/>
  </r>
  <r>
    <x v="8"/>
    <d v="2026-01-19T00:00:00"/>
    <x v="7"/>
    <n v="16"/>
    <s v="Municipal Maracena"/>
    <x v="1"/>
    <x v="100"/>
    <x v="5"/>
    <x v="24"/>
    <x v="3"/>
    <x v="16"/>
    <x v="3"/>
    <m/>
  </r>
  <r>
    <x v="8"/>
    <d v="2026-01-19T00:00:00"/>
    <x v="7"/>
    <n v="16"/>
    <s v="Municipal Maracena"/>
    <x v="1"/>
    <x v="100"/>
    <x v="1"/>
    <x v="24"/>
    <x v="3"/>
    <x v="16"/>
    <x v="3"/>
    <m/>
  </r>
  <r>
    <x v="8"/>
    <d v="2026-01-19T00:00:00"/>
    <x v="7"/>
    <n v="16"/>
    <s v="Municipal Maracena"/>
    <x v="1"/>
    <x v="100"/>
    <x v="3"/>
    <x v="17"/>
    <x v="2"/>
    <x v="22"/>
    <x v="3"/>
    <m/>
  </r>
  <r>
    <x v="8"/>
    <d v="2026-01-19T00:00:00"/>
    <x v="7"/>
    <n v="16"/>
    <s v="Municipal Maracena"/>
    <x v="1"/>
    <x v="100"/>
    <x v="13"/>
    <x v="32"/>
    <x v="3"/>
    <x v="19"/>
    <x v="3"/>
    <m/>
  </r>
  <r>
    <x v="8"/>
    <d v="2026-01-19T00:00:00"/>
    <x v="7"/>
    <n v="16"/>
    <s v="Municipal Maracena"/>
    <x v="1"/>
    <x v="100"/>
    <x v="13"/>
    <x v="17"/>
    <x v="3"/>
    <x v="19"/>
    <x v="3"/>
    <m/>
  </r>
  <r>
    <x v="8"/>
    <d v="2026-01-19T00:00:00"/>
    <x v="7"/>
    <n v="16"/>
    <s v="Municipal Maracena"/>
    <x v="1"/>
    <x v="100"/>
    <x v="3"/>
    <x v="17"/>
    <x v="2"/>
    <x v="19"/>
    <x v="3"/>
    <m/>
  </r>
  <r>
    <x v="8"/>
    <d v="2026-01-19T00:00:00"/>
    <x v="7"/>
    <n v="16"/>
    <s v="Municipal Maracena"/>
    <x v="1"/>
    <x v="100"/>
    <x v="8"/>
    <x v="17"/>
    <x v="3"/>
    <x v="15"/>
    <x v="3"/>
    <m/>
  </r>
  <r>
    <x v="8"/>
    <d v="2026-01-19T00:00:00"/>
    <x v="7"/>
    <n v="16"/>
    <s v="Municipal Maracena"/>
    <x v="1"/>
    <x v="100"/>
    <x v="12"/>
    <x v="21"/>
    <x v="2"/>
    <x v="19"/>
    <x v="3"/>
    <m/>
  </r>
  <r>
    <x v="8"/>
    <d v="2026-01-19T00:00:00"/>
    <x v="7"/>
    <n v="16"/>
    <s v="Municipal Maracena"/>
    <x v="1"/>
    <x v="100"/>
    <x v="9"/>
    <x v="17"/>
    <x v="3"/>
    <x v="20"/>
    <x v="3"/>
    <m/>
  </r>
  <r>
    <x v="8"/>
    <d v="2026-01-19T00:00:00"/>
    <x v="7"/>
    <n v="16"/>
    <s v="Municipal Maracena"/>
    <x v="1"/>
    <x v="100"/>
    <x v="13"/>
    <x v="17"/>
    <x v="3"/>
    <x v="14"/>
    <x v="3"/>
    <m/>
  </r>
  <r>
    <x v="8"/>
    <d v="2026-01-19T00:00:00"/>
    <x v="7"/>
    <n v="16"/>
    <s v="Municipal Maracena"/>
    <x v="1"/>
    <x v="100"/>
    <x v="2"/>
    <x v="17"/>
    <x v="2"/>
    <x v="19"/>
    <x v="3"/>
    <m/>
  </r>
  <r>
    <x v="8"/>
    <d v="2026-01-19T00:00:00"/>
    <x v="7"/>
    <n v="16"/>
    <s v="Municipal Maracena"/>
    <x v="1"/>
    <x v="100"/>
    <x v="8"/>
    <x v="17"/>
    <x v="2"/>
    <x v="14"/>
    <x v="3"/>
    <m/>
  </r>
  <r>
    <x v="8"/>
    <d v="2026-01-19T00:00:00"/>
    <x v="7"/>
    <n v="16"/>
    <s v="Municipal Maracena"/>
    <x v="1"/>
    <x v="100"/>
    <x v="13"/>
    <x v="17"/>
    <x v="3"/>
    <x v="14"/>
    <x v="3"/>
    <m/>
  </r>
  <r>
    <x v="8"/>
    <d v="2026-01-19T00:00:00"/>
    <x v="7"/>
    <n v="16"/>
    <s v="Municipal Maracena"/>
    <x v="1"/>
    <x v="100"/>
    <x v="13"/>
    <x v="26"/>
    <x v="3"/>
    <x v="14"/>
    <x v="3"/>
    <m/>
  </r>
  <r>
    <x v="8"/>
    <d v="2026-01-19T00:00:00"/>
    <x v="7"/>
    <n v="16"/>
    <s v="Municipal Maracena"/>
    <x v="1"/>
    <x v="100"/>
    <x v="18"/>
    <x v="32"/>
    <x v="3"/>
    <x v="20"/>
    <x v="3"/>
    <m/>
  </r>
  <r>
    <x v="8"/>
    <d v="2026-01-19T00:00:00"/>
    <x v="7"/>
    <n v="16"/>
    <s v="Municipal Maracena"/>
    <x v="1"/>
    <x v="100"/>
    <x v="2"/>
    <x v="17"/>
    <x v="2"/>
    <x v="19"/>
    <x v="3"/>
    <s v="A"/>
  </r>
  <r>
    <x v="8"/>
    <d v="2026-01-19T00:00:00"/>
    <x v="7"/>
    <n v="16"/>
    <s v="Municipal Maracena"/>
    <x v="1"/>
    <x v="100"/>
    <x v="3"/>
    <x v="17"/>
    <x v="2"/>
    <x v="19"/>
    <x v="3"/>
    <m/>
  </r>
  <r>
    <x v="8"/>
    <d v="2026-01-19T00:00:00"/>
    <x v="7"/>
    <n v="16"/>
    <s v="Municipal Maracena"/>
    <x v="1"/>
    <x v="103"/>
    <x v="3"/>
    <x v="8"/>
    <x v="5"/>
    <x v="15"/>
    <x v="3"/>
    <m/>
  </r>
  <r>
    <x v="8"/>
    <d v="2026-01-19T00:00:00"/>
    <x v="7"/>
    <n v="16"/>
    <s v="Municipal Maracena"/>
    <x v="1"/>
    <x v="103"/>
    <x v="13"/>
    <x v="17"/>
    <x v="3"/>
    <x v="14"/>
    <x v="3"/>
    <m/>
  </r>
  <r>
    <x v="8"/>
    <d v="2026-01-19T00:00:00"/>
    <x v="7"/>
    <n v="16"/>
    <s v="Municipal Maracena"/>
    <x v="1"/>
    <x v="103"/>
    <x v="9"/>
    <x v="17"/>
    <x v="3"/>
    <x v="18"/>
    <x v="3"/>
    <m/>
  </r>
  <r>
    <x v="8"/>
    <d v="2026-01-19T00:00:00"/>
    <x v="7"/>
    <n v="16"/>
    <s v="Municipal Maracena"/>
    <x v="1"/>
    <x v="103"/>
    <x v="2"/>
    <x v="17"/>
    <x v="2"/>
    <x v="15"/>
    <x v="3"/>
    <m/>
  </r>
  <r>
    <x v="8"/>
    <d v="2026-01-19T00:00:00"/>
    <x v="7"/>
    <n v="16"/>
    <s v="Municipal Maracena"/>
    <x v="1"/>
    <x v="103"/>
    <x v="9"/>
    <x v="24"/>
    <x v="3"/>
    <x v="18"/>
    <x v="3"/>
    <m/>
  </r>
  <r>
    <x v="8"/>
    <d v="2026-01-19T00:00:00"/>
    <x v="7"/>
    <n v="16"/>
    <s v="Municipal Maracena"/>
    <x v="1"/>
    <x v="103"/>
    <x v="5"/>
    <x v="26"/>
    <x v="3"/>
    <x v="20"/>
    <x v="3"/>
    <m/>
  </r>
  <r>
    <x v="8"/>
    <d v="2026-01-19T00:00:00"/>
    <x v="7"/>
    <n v="16"/>
    <s v="Municipal Maracena"/>
    <x v="1"/>
    <x v="103"/>
    <x v="5"/>
    <x v="24"/>
    <x v="3"/>
    <x v="18"/>
    <x v="3"/>
    <m/>
  </r>
  <r>
    <x v="8"/>
    <d v="2026-01-19T00:00:00"/>
    <x v="7"/>
    <n v="16"/>
    <s v="Municipal Maracena"/>
    <x v="1"/>
    <x v="103"/>
    <x v="3"/>
    <x v="8"/>
    <x v="3"/>
    <x v="22"/>
    <x v="3"/>
    <m/>
  </r>
  <r>
    <x v="8"/>
    <d v="2026-01-19T00:00:00"/>
    <x v="7"/>
    <n v="16"/>
    <s v="Municipal Maracena"/>
    <x v="1"/>
    <x v="103"/>
    <x v="1"/>
    <x v="26"/>
    <x v="3"/>
    <x v="16"/>
    <x v="3"/>
    <m/>
  </r>
  <r>
    <x v="8"/>
    <d v="2026-01-19T00:00:00"/>
    <x v="7"/>
    <n v="16"/>
    <s v="Municipal Maracena"/>
    <x v="1"/>
    <x v="103"/>
    <x v="1"/>
    <x v="26"/>
    <x v="3"/>
    <x v="16"/>
    <x v="3"/>
    <m/>
  </r>
  <r>
    <x v="8"/>
    <d v="2026-01-19T00:00:00"/>
    <x v="7"/>
    <n v="16"/>
    <s v="Municipal Maracena"/>
    <x v="1"/>
    <x v="103"/>
    <x v="18"/>
    <x v="17"/>
    <x v="3"/>
    <x v="20"/>
    <x v="3"/>
    <m/>
  </r>
  <r>
    <x v="8"/>
    <d v="2026-01-19T00:00:00"/>
    <x v="7"/>
    <n v="16"/>
    <s v="Municipal Maracena"/>
    <x v="1"/>
    <x v="103"/>
    <x v="8"/>
    <x v="17"/>
    <x v="2"/>
    <x v="14"/>
    <x v="3"/>
    <m/>
  </r>
  <r>
    <x v="8"/>
    <d v="2026-01-19T00:00:00"/>
    <x v="7"/>
    <n v="16"/>
    <s v="Municipal Maracena"/>
    <x v="1"/>
    <x v="103"/>
    <x v="13"/>
    <x v="27"/>
    <x v="3"/>
    <x v="21"/>
    <x v="3"/>
    <m/>
  </r>
  <r>
    <x v="8"/>
    <d v="2026-01-19T00:00:00"/>
    <x v="7"/>
    <n v="16"/>
    <s v="Municipal Maracena"/>
    <x v="1"/>
    <x v="103"/>
    <x v="9"/>
    <x v="24"/>
    <x v="3"/>
    <x v="18"/>
    <x v="3"/>
    <m/>
  </r>
  <r>
    <x v="8"/>
    <d v="2026-01-19T00:00:00"/>
    <x v="7"/>
    <n v="16"/>
    <s v="Municipal Maracena"/>
    <x v="1"/>
    <x v="103"/>
    <x v="5"/>
    <x v="24"/>
    <x v="3"/>
    <x v="18"/>
    <x v="3"/>
    <m/>
  </r>
  <r>
    <x v="8"/>
    <d v="2026-01-19T00:00:00"/>
    <x v="7"/>
    <n v="16"/>
    <s v="Municipal Maracena"/>
    <x v="1"/>
    <x v="103"/>
    <x v="18"/>
    <x v="24"/>
    <x v="3"/>
    <x v="20"/>
    <x v="3"/>
    <m/>
  </r>
  <r>
    <x v="8"/>
    <d v="2026-01-19T00:00:00"/>
    <x v="7"/>
    <n v="16"/>
    <s v="Municipal Maracena"/>
    <x v="1"/>
    <x v="103"/>
    <x v="0"/>
    <x v="29"/>
    <x v="3"/>
    <x v="20"/>
    <x v="3"/>
    <m/>
  </r>
  <r>
    <x v="8"/>
    <d v="2026-01-19T00:00:00"/>
    <x v="7"/>
    <n v="16"/>
    <s v="Municipal Maracena"/>
    <x v="1"/>
    <x v="103"/>
    <x v="13"/>
    <x v="17"/>
    <x v="2"/>
    <x v="14"/>
    <x v="3"/>
    <m/>
  </r>
  <r>
    <x v="8"/>
    <d v="2026-01-19T00:00:00"/>
    <x v="7"/>
    <n v="16"/>
    <s v="Municipal Maracena"/>
    <x v="1"/>
    <x v="103"/>
    <x v="18"/>
    <x v="24"/>
    <x v="3"/>
    <x v="20"/>
    <x v="3"/>
    <m/>
  </r>
  <r>
    <x v="8"/>
    <d v="2026-01-19T00:00:00"/>
    <x v="7"/>
    <n v="16"/>
    <s v="Municipal Maracena"/>
    <x v="1"/>
    <x v="103"/>
    <x v="1"/>
    <x v="24"/>
    <x v="3"/>
    <x v="20"/>
    <x v="3"/>
    <m/>
  </r>
  <r>
    <x v="8"/>
    <d v="2026-01-19T00:00:00"/>
    <x v="7"/>
    <n v="16"/>
    <s v="Municipal Maracena"/>
    <x v="1"/>
    <x v="103"/>
    <x v="5"/>
    <x v="24"/>
    <x v="3"/>
    <x v="20"/>
    <x v="3"/>
    <m/>
  </r>
  <r>
    <x v="8"/>
    <d v="2026-01-19T00:00:00"/>
    <x v="7"/>
    <n v="16"/>
    <s v="Municipal Maracena"/>
    <x v="1"/>
    <x v="103"/>
    <x v="18"/>
    <x v="24"/>
    <x v="3"/>
    <x v="20"/>
    <x v="3"/>
    <m/>
  </r>
  <r>
    <x v="8"/>
    <d v="2026-01-19T00:00:00"/>
    <x v="7"/>
    <n v="16"/>
    <s v="Municipal Maracena"/>
    <x v="1"/>
    <x v="103"/>
    <x v="8"/>
    <x v="15"/>
    <x v="3"/>
    <x v="14"/>
    <x v="3"/>
    <m/>
  </r>
  <r>
    <x v="8"/>
    <d v="2026-01-19T00:00:00"/>
    <x v="7"/>
    <n v="16"/>
    <s v="Municipal Maracena"/>
    <x v="1"/>
    <x v="103"/>
    <x v="2"/>
    <x v="13"/>
    <x v="5"/>
    <x v="15"/>
    <x v="3"/>
    <m/>
  </r>
  <r>
    <x v="8"/>
    <d v="2026-01-19T00:00:00"/>
    <x v="7"/>
    <n v="16"/>
    <s v="Municipal Maracena"/>
    <x v="1"/>
    <x v="103"/>
    <x v="13"/>
    <x v="32"/>
    <x v="3"/>
    <x v="14"/>
    <x v="3"/>
    <m/>
  </r>
  <r>
    <x v="8"/>
    <d v="2026-01-19T00:00:00"/>
    <x v="7"/>
    <n v="16"/>
    <s v="Municipal Maracena"/>
    <x v="1"/>
    <x v="103"/>
    <x v="9"/>
    <x v="32"/>
    <x v="3"/>
    <x v="18"/>
    <x v="3"/>
    <m/>
  </r>
  <r>
    <x v="8"/>
    <d v="2026-01-19T00:00:00"/>
    <x v="7"/>
    <n v="16"/>
    <s v="Municipal Maracena"/>
    <x v="1"/>
    <x v="103"/>
    <x v="8"/>
    <x v="24"/>
    <x v="3"/>
    <x v="14"/>
    <x v="3"/>
    <m/>
  </r>
  <r>
    <x v="8"/>
    <d v="2026-01-19T00:00:00"/>
    <x v="7"/>
    <n v="16"/>
    <s v="Municipal Maracena"/>
    <x v="1"/>
    <x v="103"/>
    <x v="13"/>
    <x v="32"/>
    <x v="3"/>
    <x v="14"/>
    <x v="3"/>
    <m/>
  </r>
  <r>
    <x v="8"/>
    <d v="2026-01-19T00:00:00"/>
    <x v="7"/>
    <n v="16"/>
    <s v="Municipal Maracena"/>
    <x v="1"/>
    <x v="103"/>
    <x v="2"/>
    <x v="17"/>
    <x v="3"/>
    <x v="18"/>
    <x v="3"/>
    <m/>
  </r>
  <r>
    <x v="8"/>
    <d v="2026-01-19T00:00:00"/>
    <x v="7"/>
    <n v="16"/>
    <s v="Municipal Maracena"/>
    <x v="1"/>
    <x v="103"/>
    <x v="8"/>
    <x v="17"/>
    <x v="3"/>
    <x v="14"/>
    <x v="3"/>
    <s v="A"/>
  </r>
  <r>
    <x v="8"/>
    <d v="2026-01-19T00:00:00"/>
    <x v="7"/>
    <n v="16"/>
    <s v="Municipal Maracena"/>
    <x v="1"/>
    <x v="103"/>
    <x v="8"/>
    <x v="26"/>
    <x v="3"/>
    <x v="19"/>
    <x v="3"/>
    <m/>
  </r>
  <r>
    <x v="8"/>
    <d v="2026-01-19T00:00:00"/>
    <x v="7"/>
    <n v="16"/>
    <s v="Municipal Maracena"/>
    <x v="1"/>
    <x v="103"/>
    <x v="13"/>
    <x v="17"/>
    <x v="3"/>
    <x v="14"/>
    <x v="3"/>
    <m/>
  </r>
  <r>
    <x v="8"/>
    <d v="2026-01-19T00:00:00"/>
    <x v="7"/>
    <n v="16"/>
    <s v="Municipal Maracena"/>
    <x v="1"/>
    <x v="103"/>
    <x v="13"/>
    <x v="30"/>
    <x v="5"/>
    <x v="15"/>
    <x v="3"/>
    <m/>
  </r>
  <r>
    <x v="8"/>
    <d v="2026-01-19T00:00:00"/>
    <x v="7"/>
    <n v="16"/>
    <s v="Municipal Maracena"/>
    <x v="1"/>
    <x v="103"/>
    <x v="12"/>
    <x v="17"/>
    <x v="3"/>
    <x v="22"/>
    <x v="3"/>
    <s v="R"/>
  </r>
  <r>
    <x v="8"/>
    <d v="2026-01-19T00:00:00"/>
    <x v="7"/>
    <n v="16"/>
    <s v="Municipal Maracena"/>
    <x v="1"/>
    <x v="103"/>
    <x v="9"/>
    <x v="27"/>
    <x v="3"/>
    <x v="21"/>
    <x v="3"/>
    <m/>
  </r>
  <r>
    <x v="8"/>
    <d v="2026-01-19T00:00:00"/>
    <x v="7"/>
    <n v="16"/>
    <s v="Municipal Maracena"/>
    <x v="1"/>
    <x v="103"/>
    <x v="2"/>
    <x v="8"/>
    <x v="3"/>
    <x v="19"/>
    <x v="3"/>
    <m/>
  </r>
  <r>
    <x v="8"/>
    <d v="2026-01-19T00:00:00"/>
    <x v="7"/>
    <n v="16"/>
    <s v="Municipal Maracena"/>
    <x v="1"/>
    <x v="103"/>
    <x v="9"/>
    <x v="17"/>
    <x v="3"/>
    <x v="18"/>
    <x v="3"/>
    <s v="A"/>
  </r>
  <r>
    <x v="8"/>
    <d v="2026-01-19T00:00:00"/>
    <x v="7"/>
    <n v="16"/>
    <s v="Municipal Maracena"/>
    <x v="1"/>
    <x v="103"/>
    <x v="8"/>
    <x v="26"/>
    <x v="3"/>
    <x v="18"/>
    <x v="3"/>
    <m/>
  </r>
  <r>
    <x v="8"/>
    <d v="2026-01-19T00:00:00"/>
    <x v="7"/>
    <n v="16"/>
    <s v="Municipal Maracena"/>
    <x v="1"/>
    <x v="103"/>
    <x v="3"/>
    <x v="17"/>
    <x v="2"/>
    <x v="18"/>
    <x v="3"/>
    <m/>
  </r>
  <r>
    <x v="8"/>
    <d v="2026-01-19T00:00:00"/>
    <x v="7"/>
    <n v="16"/>
    <s v="Municipal Maracena"/>
    <x v="1"/>
    <x v="103"/>
    <x v="2"/>
    <x v="17"/>
    <x v="2"/>
    <x v="19"/>
    <x v="3"/>
    <m/>
  </r>
  <r>
    <x v="8"/>
    <d v="2026-01-19T00:00:00"/>
    <x v="7"/>
    <n v="16"/>
    <s v="Municipal Maracena"/>
    <x v="1"/>
    <x v="98"/>
    <x v="12"/>
    <x v="17"/>
    <x v="3"/>
    <x v="14"/>
    <x v="3"/>
    <m/>
  </r>
  <r>
    <x v="8"/>
    <d v="2026-01-19T00:00:00"/>
    <x v="7"/>
    <n v="16"/>
    <s v="Municipal Maracena"/>
    <x v="1"/>
    <x v="98"/>
    <x v="12"/>
    <x v="27"/>
    <x v="3"/>
    <x v="14"/>
    <x v="3"/>
    <m/>
  </r>
  <r>
    <x v="8"/>
    <d v="2026-01-19T00:00:00"/>
    <x v="7"/>
    <n v="16"/>
    <s v="Municipal Maracena"/>
    <x v="1"/>
    <x v="98"/>
    <x v="0"/>
    <x v="26"/>
    <x v="5"/>
    <x v="14"/>
    <x v="3"/>
    <m/>
  </r>
  <r>
    <x v="8"/>
    <d v="2026-01-19T00:00:00"/>
    <x v="7"/>
    <n v="16"/>
    <s v="Municipal Maracena"/>
    <x v="1"/>
    <x v="98"/>
    <x v="3"/>
    <x v="17"/>
    <x v="5"/>
    <x v="11"/>
    <x v="3"/>
    <s v="A"/>
  </r>
  <r>
    <x v="8"/>
    <d v="2026-01-19T00:00:00"/>
    <x v="7"/>
    <n v="16"/>
    <s v="Municipal Maracena"/>
    <x v="1"/>
    <x v="98"/>
    <x v="3"/>
    <x v="21"/>
    <x v="3"/>
    <x v="19"/>
    <x v="3"/>
    <m/>
  </r>
  <r>
    <x v="8"/>
    <d v="2026-01-19T00:00:00"/>
    <x v="7"/>
    <n v="16"/>
    <s v="Municipal Maracena"/>
    <x v="1"/>
    <x v="98"/>
    <x v="1"/>
    <x v="21"/>
    <x v="3"/>
    <x v="22"/>
    <x v="3"/>
    <m/>
  </r>
  <r>
    <x v="8"/>
    <d v="2026-01-19T00:00:00"/>
    <x v="7"/>
    <n v="16"/>
    <s v="Municipal Maracena"/>
    <x v="1"/>
    <x v="98"/>
    <x v="12"/>
    <x v="25"/>
    <x v="2"/>
    <x v="11"/>
    <x v="3"/>
    <m/>
  </r>
  <r>
    <x v="8"/>
    <d v="2026-01-19T00:00:00"/>
    <x v="7"/>
    <n v="16"/>
    <s v="Municipal Maracena"/>
    <x v="1"/>
    <x v="98"/>
    <x v="12"/>
    <x v="17"/>
    <x v="2"/>
    <x v="11"/>
    <x v="3"/>
    <m/>
  </r>
  <r>
    <x v="8"/>
    <d v="2026-01-19T00:00:00"/>
    <x v="7"/>
    <n v="16"/>
    <s v="Municipal Maracena"/>
    <x v="1"/>
    <x v="98"/>
    <x v="9"/>
    <x v="20"/>
    <x v="5"/>
    <x v="11"/>
    <x v="3"/>
    <m/>
  </r>
  <r>
    <x v="8"/>
    <d v="2026-01-19T00:00:00"/>
    <x v="7"/>
    <n v="16"/>
    <s v="Municipal Maracena"/>
    <x v="1"/>
    <x v="98"/>
    <x v="18"/>
    <x v="8"/>
    <x v="5"/>
    <x v="11"/>
    <x v="3"/>
    <m/>
  </r>
  <r>
    <x v="8"/>
    <d v="2026-01-19T00:00:00"/>
    <x v="7"/>
    <n v="16"/>
    <s v="Municipal Maracena"/>
    <x v="1"/>
    <x v="98"/>
    <x v="2"/>
    <x v="17"/>
    <x v="2"/>
    <x v="11"/>
    <x v="3"/>
    <m/>
  </r>
  <r>
    <x v="8"/>
    <d v="2026-01-19T00:00:00"/>
    <x v="7"/>
    <n v="16"/>
    <s v="Municipal Maracena"/>
    <x v="1"/>
    <x v="98"/>
    <x v="13"/>
    <x v="25"/>
    <x v="3"/>
    <x v="21"/>
    <x v="3"/>
    <m/>
  </r>
  <r>
    <x v="8"/>
    <d v="2026-01-19T00:00:00"/>
    <x v="7"/>
    <n v="16"/>
    <s v="Municipal Maracena"/>
    <x v="1"/>
    <x v="98"/>
    <x v="13"/>
    <x v="32"/>
    <x v="3"/>
    <x v="19"/>
    <x v="3"/>
    <m/>
  </r>
  <r>
    <x v="8"/>
    <d v="2026-01-19T00:00:00"/>
    <x v="7"/>
    <n v="16"/>
    <s v="Municipal Maracena"/>
    <x v="1"/>
    <x v="98"/>
    <x v="2"/>
    <x v="29"/>
    <x v="5"/>
    <x v="11"/>
    <x v="3"/>
    <m/>
  </r>
  <r>
    <x v="8"/>
    <d v="2026-01-19T00:00:00"/>
    <x v="7"/>
    <n v="16"/>
    <s v="Municipal Maracena"/>
    <x v="1"/>
    <x v="98"/>
    <x v="18"/>
    <x v="17"/>
    <x v="5"/>
    <x v="14"/>
    <x v="3"/>
    <s v="A"/>
  </r>
  <r>
    <x v="8"/>
    <d v="2026-01-19T00:00:00"/>
    <x v="7"/>
    <n v="16"/>
    <s v="Municipal Maracena"/>
    <x v="1"/>
    <x v="98"/>
    <x v="3"/>
    <x v="25"/>
    <x v="3"/>
    <x v="11"/>
    <x v="3"/>
    <m/>
  </r>
  <r>
    <x v="8"/>
    <d v="2026-01-19T00:00:00"/>
    <x v="7"/>
    <n v="16"/>
    <s v="Municipal Maracena"/>
    <x v="1"/>
    <x v="98"/>
    <x v="3"/>
    <x v="17"/>
    <x v="2"/>
    <x v="22"/>
    <x v="3"/>
    <m/>
  </r>
  <r>
    <x v="8"/>
    <d v="2026-01-19T00:00:00"/>
    <x v="7"/>
    <n v="16"/>
    <s v="Municipal Maracena"/>
    <x v="1"/>
    <x v="98"/>
    <x v="18"/>
    <x v="24"/>
    <x v="3"/>
    <x v="11"/>
    <x v="3"/>
    <m/>
  </r>
  <r>
    <x v="8"/>
    <d v="2026-01-19T00:00:00"/>
    <x v="7"/>
    <n v="16"/>
    <s v="Municipal Maracena"/>
    <x v="1"/>
    <x v="98"/>
    <x v="1"/>
    <x v="24"/>
    <x v="3"/>
    <x v="11"/>
    <x v="3"/>
    <m/>
  </r>
  <r>
    <x v="8"/>
    <d v="2026-01-19T00:00:00"/>
    <x v="7"/>
    <n v="16"/>
    <s v="Municipal Maracena"/>
    <x v="1"/>
    <x v="98"/>
    <x v="3"/>
    <x v="17"/>
    <x v="2"/>
    <x v="22"/>
    <x v="3"/>
    <m/>
  </r>
  <r>
    <x v="8"/>
    <d v="2026-01-19T00:00:00"/>
    <x v="7"/>
    <n v="16"/>
    <s v="Municipal Maracena"/>
    <x v="1"/>
    <x v="98"/>
    <x v="5"/>
    <x v="27"/>
    <x v="5"/>
    <x v="20"/>
    <x v="3"/>
    <m/>
  </r>
  <r>
    <x v="8"/>
    <d v="2026-01-19T00:00:00"/>
    <x v="7"/>
    <n v="16"/>
    <s v="Municipal Maracena"/>
    <x v="1"/>
    <x v="98"/>
    <x v="13"/>
    <x v="17"/>
    <x v="3"/>
    <x v="11"/>
    <x v="3"/>
    <m/>
  </r>
  <r>
    <x v="8"/>
    <d v="2026-01-19T00:00:00"/>
    <x v="7"/>
    <n v="16"/>
    <s v="Municipal Maracena"/>
    <x v="1"/>
    <x v="98"/>
    <x v="5"/>
    <x v="25"/>
    <x v="2"/>
    <x v="11"/>
    <x v="3"/>
    <m/>
  </r>
  <r>
    <x v="8"/>
    <d v="2026-01-19T00:00:00"/>
    <x v="7"/>
    <n v="16"/>
    <s v="Municipal Maracena"/>
    <x v="1"/>
    <x v="98"/>
    <x v="0"/>
    <x v="32"/>
    <x v="5"/>
    <x v="11"/>
    <x v="3"/>
    <m/>
  </r>
  <r>
    <x v="8"/>
    <d v="2026-01-19T00:00:00"/>
    <x v="7"/>
    <n v="16"/>
    <s v="Municipal Maracena"/>
    <x v="1"/>
    <x v="98"/>
    <x v="0"/>
    <x v="27"/>
    <x v="5"/>
    <x v="11"/>
    <x v="3"/>
    <m/>
  </r>
  <r>
    <x v="8"/>
    <d v="2026-01-19T00:00:00"/>
    <x v="7"/>
    <n v="16"/>
    <s v="Municipal Maracena"/>
    <x v="1"/>
    <x v="98"/>
    <x v="8"/>
    <x v="32"/>
    <x v="3"/>
    <x v="14"/>
    <x v="3"/>
    <m/>
  </r>
  <r>
    <x v="8"/>
    <d v="2026-01-19T00:00:00"/>
    <x v="7"/>
    <n v="16"/>
    <s v="Municipal Maracena"/>
    <x v="1"/>
    <x v="98"/>
    <x v="12"/>
    <x v="25"/>
    <x v="2"/>
    <x v="14"/>
    <x v="3"/>
    <m/>
  </r>
  <r>
    <x v="8"/>
    <d v="2026-01-19T00:00:00"/>
    <x v="7"/>
    <n v="16"/>
    <s v="Municipal Maracena"/>
    <x v="1"/>
    <x v="98"/>
    <x v="8"/>
    <x v="24"/>
    <x v="2"/>
    <x v="14"/>
    <x v="3"/>
    <m/>
  </r>
  <r>
    <x v="8"/>
    <d v="2026-01-19T00:00:00"/>
    <x v="7"/>
    <n v="16"/>
    <s v="Municipal Maracena"/>
    <x v="1"/>
    <x v="98"/>
    <x v="3"/>
    <x v="3"/>
    <x v="3"/>
    <x v="14"/>
    <x v="3"/>
    <m/>
  </r>
  <r>
    <x v="8"/>
    <d v="2026-01-19T00:00:00"/>
    <x v="7"/>
    <n v="16"/>
    <s v="Municipal Maracena"/>
    <x v="1"/>
    <x v="98"/>
    <x v="8"/>
    <x v="25"/>
    <x v="2"/>
    <x v="14"/>
    <x v="3"/>
    <m/>
  </r>
  <r>
    <x v="8"/>
    <d v="2026-01-19T00:00:00"/>
    <x v="7"/>
    <n v="16"/>
    <s v="Municipal Maracena"/>
    <x v="1"/>
    <x v="98"/>
    <x v="18"/>
    <x v="29"/>
    <x v="5"/>
    <x v="16"/>
    <x v="3"/>
    <m/>
  </r>
  <r>
    <x v="8"/>
    <d v="2026-01-19T00:00:00"/>
    <x v="7"/>
    <n v="16"/>
    <s v="Municipal Maracena"/>
    <x v="1"/>
    <x v="98"/>
    <x v="8"/>
    <x v="27"/>
    <x v="3"/>
    <x v="14"/>
    <x v="3"/>
    <m/>
  </r>
  <r>
    <x v="8"/>
    <d v="2026-01-19T00:00:00"/>
    <x v="7"/>
    <n v="16"/>
    <s v="Municipal Maracena"/>
    <x v="1"/>
    <x v="98"/>
    <x v="13"/>
    <x v="24"/>
    <x v="5"/>
    <x v="11"/>
    <x v="3"/>
    <m/>
  </r>
  <r>
    <x v="8"/>
    <d v="2026-01-19T00:00:00"/>
    <x v="7"/>
    <n v="16"/>
    <s v="Municipal Maracena"/>
    <x v="1"/>
    <x v="98"/>
    <x v="5"/>
    <x v="17"/>
    <x v="5"/>
    <x v="20"/>
    <x v="3"/>
    <m/>
  </r>
  <r>
    <x v="8"/>
    <d v="2026-01-19T00:00:00"/>
    <x v="7"/>
    <n v="16"/>
    <s v="Municipal Maracena"/>
    <x v="1"/>
    <x v="98"/>
    <x v="3"/>
    <x v="25"/>
    <x v="3"/>
    <x v="14"/>
    <x v="3"/>
    <m/>
  </r>
  <r>
    <x v="8"/>
    <d v="2026-01-19T00:00:00"/>
    <x v="7"/>
    <n v="16"/>
    <s v="Municipal Maracena"/>
    <x v="1"/>
    <x v="98"/>
    <x v="3"/>
    <x v="24"/>
    <x v="5"/>
    <x v="11"/>
    <x v="3"/>
    <m/>
  </r>
  <r>
    <x v="8"/>
    <d v="2026-01-19T00:00:00"/>
    <x v="7"/>
    <n v="16"/>
    <s v="Municipal Maracena"/>
    <x v="1"/>
    <x v="98"/>
    <x v="1"/>
    <x v="26"/>
    <x v="3"/>
    <x v="17"/>
    <x v="3"/>
    <m/>
  </r>
  <r>
    <x v="8"/>
    <d v="2026-01-19T00:00:00"/>
    <x v="7"/>
    <n v="16"/>
    <s v="Municipal Maracena"/>
    <x v="1"/>
    <x v="98"/>
    <x v="8"/>
    <x v="27"/>
    <x v="5"/>
    <x v="14"/>
    <x v="3"/>
    <m/>
  </r>
  <r>
    <x v="8"/>
    <d v="2026-01-19T00:00:00"/>
    <x v="7"/>
    <n v="16"/>
    <s v="Municipal Maracena"/>
    <x v="1"/>
    <x v="101"/>
    <x v="13"/>
    <x v="17"/>
    <x v="3"/>
    <x v="14"/>
    <x v="3"/>
    <s v="A"/>
  </r>
  <r>
    <x v="8"/>
    <d v="2026-01-19T00:00:00"/>
    <x v="7"/>
    <n v="16"/>
    <s v="Municipal Maracena"/>
    <x v="1"/>
    <x v="101"/>
    <x v="8"/>
    <x v="20"/>
    <x v="5"/>
    <x v="11"/>
    <x v="3"/>
    <m/>
  </r>
  <r>
    <x v="8"/>
    <d v="2026-01-19T00:00:00"/>
    <x v="7"/>
    <n v="16"/>
    <s v="Municipal Maracena"/>
    <x v="1"/>
    <x v="101"/>
    <x v="23"/>
    <x v="20"/>
    <x v="5"/>
    <x v="11"/>
    <x v="3"/>
    <m/>
  </r>
  <r>
    <x v="8"/>
    <d v="2026-01-19T00:00:00"/>
    <x v="7"/>
    <n v="16"/>
    <s v="Municipal Maracena"/>
    <x v="1"/>
    <x v="101"/>
    <x v="1"/>
    <x v="17"/>
    <x v="2"/>
    <x v="11"/>
    <x v="3"/>
    <m/>
  </r>
  <r>
    <x v="8"/>
    <d v="2026-01-19T00:00:00"/>
    <x v="7"/>
    <n v="16"/>
    <s v="Municipal Maracena"/>
    <x v="1"/>
    <x v="101"/>
    <x v="5"/>
    <x v="17"/>
    <x v="5"/>
    <x v="11"/>
    <x v="3"/>
    <s v="A"/>
  </r>
  <r>
    <x v="8"/>
    <d v="2026-01-19T00:00:00"/>
    <x v="7"/>
    <n v="16"/>
    <s v="Municipal Maracena"/>
    <x v="1"/>
    <x v="101"/>
    <x v="9"/>
    <x v="30"/>
    <x v="5"/>
    <x v="15"/>
    <x v="3"/>
    <m/>
  </r>
  <r>
    <x v="8"/>
    <d v="2026-01-19T00:00:00"/>
    <x v="7"/>
    <n v="16"/>
    <s v="Municipal Maracena"/>
    <x v="1"/>
    <x v="101"/>
    <x v="5"/>
    <x v="17"/>
    <x v="2"/>
    <x v="14"/>
    <x v="3"/>
    <m/>
  </r>
  <r>
    <x v="8"/>
    <d v="2026-01-19T00:00:00"/>
    <x v="7"/>
    <n v="16"/>
    <s v="Municipal Maracena"/>
    <x v="1"/>
    <x v="101"/>
    <x v="10"/>
    <x v="30"/>
    <x v="4"/>
    <x v="15"/>
    <x v="3"/>
    <m/>
  </r>
  <r>
    <x v="8"/>
    <d v="2026-01-19T00:00:00"/>
    <x v="7"/>
    <n v="16"/>
    <s v="Municipal Maracena"/>
    <x v="1"/>
    <x v="101"/>
    <x v="13"/>
    <x v="8"/>
    <x v="5"/>
    <x v="21"/>
    <x v="3"/>
    <m/>
  </r>
  <r>
    <x v="8"/>
    <d v="2026-01-19T00:00:00"/>
    <x v="7"/>
    <n v="16"/>
    <s v="Municipal Maracena"/>
    <x v="1"/>
    <x v="101"/>
    <x v="5"/>
    <x v="32"/>
    <x v="3"/>
    <x v="14"/>
    <x v="3"/>
    <m/>
  </r>
  <r>
    <x v="8"/>
    <d v="2026-01-19T00:00:00"/>
    <x v="7"/>
    <n v="16"/>
    <s v="Municipal Maracena"/>
    <x v="1"/>
    <x v="101"/>
    <x v="6"/>
    <x v="17"/>
    <x v="3"/>
    <x v="14"/>
    <x v="3"/>
    <m/>
  </r>
  <r>
    <x v="8"/>
    <d v="2026-01-19T00:00:00"/>
    <x v="7"/>
    <n v="16"/>
    <s v="Municipal Maracena"/>
    <x v="1"/>
    <x v="101"/>
    <x v="12"/>
    <x v="17"/>
    <x v="3"/>
    <x v="14"/>
    <x v="3"/>
    <m/>
  </r>
  <r>
    <x v="8"/>
    <d v="2026-01-19T00:00:00"/>
    <x v="7"/>
    <n v="16"/>
    <s v="Municipal Maracena"/>
    <x v="1"/>
    <x v="101"/>
    <x v="0"/>
    <x v="32"/>
    <x v="2"/>
    <x v="20"/>
    <x v="3"/>
    <m/>
  </r>
  <r>
    <x v="8"/>
    <d v="2026-01-19T00:00:00"/>
    <x v="7"/>
    <n v="16"/>
    <s v="Municipal Maracena"/>
    <x v="1"/>
    <x v="101"/>
    <x v="6"/>
    <x v="17"/>
    <x v="3"/>
    <x v="14"/>
    <x v="3"/>
    <m/>
  </r>
  <r>
    <x v="8"/>
    <d v="2026-01-19T00:00:00"/>
    <x v="7"/>
    <n v="16"/>
    <s v="Municipal Maracena"/>
    <x v="1"/>
    <x v="101"/>
    <x v="5"/>
    <x v="25"/>
    <x v="2"/>
    <x v="14"/>
    <x v="3"/>
    <m/>
  </r>
  <r>
    <x v="8"/>
    <d v="2026-01-19T00:00:00"/>
    <x v="7"/>
    <n v="16"/>
    <s v="Municipal Maracena"/>
    <x v="1"/>
    <x v="101"/>
    <x v="8"/>
    <x v="25"/>
    <x v="3"/>
    <x v="21"/>
    <x v="3"/>
    <m/>
  </r>
  <r>
    <x v="8"/>
    <d v="2026-01-19T00:00:00"/>
    <x v="7"/>
    <n v="16"/>
    <s v="Municipal Maracena"/>
    <x v="1"/>
    <x v="101"/>
    <x v="13"/>
    <x v="17"/>
    <x v="2"/>
    <x v="21"/>
    <x v="3"/>
    <m/>
  </r>
  <r>
    <x v="8"/>
    <d v="2026-01-19T00:00:00"/>
    <x v="7"/>
    <n v="16"/>
    <s v="Municipal Maracena"/>
    <x v="1"/>
    <x v="101"/>
    <x v="8"/>
    <x v="17"/>
    <x v="3"/>
    <x v="15"/>
    <x v="3"/>
    <m/>
  </r>
  <r>
    <x v="8"/>
    <d v="2026-01-19T00:00:00"/>
    <x v="7"/>
    <n v="16"/>
    <s v="Municipal Maracena"/>
    <x v="1"/>
    <x v="101"/>
    <x v="10"/>
    <x v="17"/>
    <x v="3"/>
    <x v="15"/>
    <x v="3"/>
    <m/>
  </r>
  <r>
    <x v="8"/>
    <d v="2026-01-19T00:00:00"/>
    <x v="7"/>
    <n v="16"/>
    <s v="Municipal Maracena"/>
    <x v="1"/>
    <x v="101"/>
    <x v="12"/>
    <x v="32"/>
    <x v="3"/>
    <x v="14"/>
    <x v="3"/>
    <m/>
  </r>
  <r>
    <x v="8"/>
    <d v="2026-01-19T00:00:00"/>
    <x v="7"/>
    <n v="16"/>
    <s v="Municipal Maracena"/>
    <x v="1"/>
    <x v="101"/>
    <x v="1"/>
    <x v="32"/>
    <x v="5"/>
    <x v="17"/>
    <x v="3"/>
    <m/>
  </r>
  <r>
    <x v="8"/>
    <d v="2026-01-19T00:00:00"/>
    <x v="7"/>
    <n v="16"/>
    <s v="Municipal Maracena"/>
    <x v="1"/>
    <x v="101"/>
    <x v="18"/>
    <x v="17"/>
    <x v="3"/>
    <x v="14"/>
    <x v="3"/>
    <s v="A"/>
  </r>
  <r>
    <x v="8"/>
    <d v="2026-01-19T00:00:00"/>
    <x v="7"/>
    <n v="16"/>
    <s v="Municipal Maracena"/>
    <x v="1"/>
    <x v="101"/>
    <x v="8"/>
    <x v="17"/>
    <x v="3"/>
    <x v="14"/>
    <x v="3"/>
    <m/>
  </r>
  <r>
    <x v="8"/>
    <d v="2026-01-19T00:00:00"/>
    <x v="7"/>
    <n v="16"/>
    <s v="Municipal Maracena"/>
    <x v="1"/>
    <x v="101"/>
    <x v="6"/>
    <x v="25"/>
    <x v="2"/>
    <x v="11"/>
    <x v="3"/>
    <m/>
  </r>
  <r>
    <x v="8"/>
    <d v="2026-01-19T00:00:00"/>
    <x v="7"/>
    <n v="16"/>
    <s v="Municipal Maracena"/>
    <x v="1"/>
    <x v="101"/>
    <x v="13"/>
    <x v="31"/>
    <x v="3"/>
    <x v="19"/>
    <x v="3"/>
    <m/>
  </r>
  <r>
    <x v="8"/>
    <d v="2026-01-19T00:00:00"/>
    <x v="7"/>
    <n v="16"/>
    <s v="Municipal Maracena"/>
    <x v="1"/>
    <x v="101"/>
    <x v="8"/>
    <x v="17"/>
    <x v="3"/>
    <x v="20"/>
    <x v="3"/>
    <m/>
  </r>
  <r>
    <x v="8"/>
    <d v="2026-01-19T00:00:00"/>
    <x v="7"/>
    <n v="16"/>
    <s v="Municipal Maracena"/>
    <x v="1"/>
    <x v="101"/>
    <x v="13"/>
    <x v="17"/>
    <x v="2"/>
    <x v="21"/>
    <x v="3"/>
    <s v="A"/>
  </r>
  <r>
    <x v="8"/>
    <d v="2026-01-19T00:00:00"/>
    <x v="7"/>
    <n v="16"/>
    <s v="Municipal Maracena"/>
    <x v="1"/>
    <x v="101"/>
    <x v="8"/>
    <x v="25"/>
    <x v="3"/>
    <x v="21"/>
    <x v="3"/>
    <m/>
  </r>
  <r>
    <x v="8"/>
    <d v="2026-01-19T00:00:00"/>
    <x v="7"/>
    <n v="16"/>
    <s v="Municipal Maracena"/>
    <x v="1"/>
    <x v="101"/>
    <x v="8"/>
    <x v="27"/>
    <x v="3"/>
    <x v="21"/>
    <x v="3"/>
    <m/>
  </r>
  <r>
    <x v="8"/>
    <d v="2026-01-19T00:00:00"/>
    <x v="7"/>
    <n v="16"/>
    <s v="Municipal Maracena"/>
    <x v="1"/>
    <x v="101"/>
    <x v="10"/>
    <x v="3"/>
    <x v="3"/>
    <x v="22"/>
    <x v="3"/>
    <m/>
  </r>
  <r>
    <x v="8"/>
    <d v="2026-01-19T00:00:00"/>
    <x v="7"/>
    <n v="16"/>
    <s v="Municipal Maracena"/>
    <x v="1"/>
    <x v="101"/>
    <x v="0"/>
    <x v="32"/>
    <x v="3"/>
    <x v="20"/>
    <x v="3"/>
    <m/>
  </r>
  <r>
    <x v="8"/>
    <d v="2026-01-19T00:00:00"/>
    <x v="7"/>
    <n v="16"/>
    <s v="Municipal Maracena"/>
    <x v="1"/>
    <x v="104"/>
    <x v="1"/>
    <x v="26"/>
    <x v="3"/>
    <x v="16"/>
    <x v="3"/>
    <m/>
  </r>
  <r>
    <x v="8"/>
    <d v="2026-01-19T00:00:00"/>
    <x v="7"/>
    <n v="16"/>
    <s v="Municipal Maracena"/>
    <x v="1"/>
    <x v="104"/>
    <x v="8"/>
    <x v="17"/>
    <x v="3"/>
    <x v="14"/>
    <x v="3"/>
    <m/>
  </r>
  <r>
    <x v="8"/>
    <d v="2026-01-19T00:00:00"/>
    <x v="7"/>
    <n v="16"/>
    <s v="Municipal Maracena"/>
    <x v="1"/>
    <x v="104"/>
    <x v="12"/>
    <x v="25"/>
    <x v="2"/>
    <x v="14"/>
    <x v="3"/>
    <m/>
  </r>
  <r>
    <x v="8"/>
    <d v="2026-01-19T00:00:00"/>
    <x v="7"/>
    <n v="16"/>
    <s v="Municipal Maracena"/>
    <x v="1"/>
    <x v="104"/>
    <x v="13"/>
    <x v="17"/>
    <x v="3"/>
    <x v="14"/>
    <x v="3"/>
    <m/>
  </r>
  <r>
    <x v="8"/>
    <d v="2026-01-19T00:00:00"/>
    <x v="7"/>
    <n v="16"/>
    <s v="Municipal Maracena"/>
    <x v="1"/>
    <x v="104"/>
    <x v="13"/>
    <x v="27"/>
    <x v="5"/>
    <x v="14"/>
    <x v="3"/>
    <m/>
  </r>
  <r>
    <x v="8"/>
    <d v="2026-01-19T00:00:00"/>
    <x v="7"/>
    <n v="16"/>
    <s v="Municipal Maracena"/>
    <x v="1"/>
    <x v="104"/>
    <x v="20"/>
    <x v="17"/>
    <x v="2"/>
    <x v="15"/>
    <x v="3"/>
    <m/>
  </r>
  <r>
    <x v="8"/>
    <d v="2026-01-19T00:00:00"/>
    <x v="7"/>
    <n v="16"/>
    <s v="Municipal Maracena"/>
    <x v="1"/>
    <x v="104"/>
    <x v="0"/>
    <x v="25"/>
    <x v="3"/>
    <x v="11"/>
    <x v="3"/>
    <m/>
  </r>
  <r>
    <x v="8"/>
    <d v="2026-01-19T00:00:00"/>
    <x v="7"/>
    <n v="16"/>
    <s v="Municipal Maracena"/>
    <x v="1"/>
    <x v="104"/>
    <x v="0"/>
    <x v="17"/>
    <x v="5"/>
    <x v="11"/>
    <x v="3"/>
    <s v="A"/>
  </r>
  <r>
    <x v="8"/>
    <d v="2026-01-19T00:00:00"/>
    <x v="7"/>
    <n v="16"/>
    <s v="Municipal Maracena"/>
    <x v="1"/>
    <x v="104"/>
    <x v="8"/>
    <x v="25"/>
    <x v="3"/>
    <x v="11"/>
    <x v="3"/>
    <m/>
  </r>
  <r>
    <x v="8"/>
    <d v="2026-01-19T00:00:00"/>
    <x v="7"/>
    <n v="16"/>
    <s v="Municipal Maracena"/>
    <x v="1"/>
    <x v="104"/>
    <x v="8"/>
    <x v="29"/>
    <x v="5"/>
    <x v="11"/>
    <x v="3"/>
    <m/>
  </r>
  <r>
    <x v="8"/>
    <d v="2026-01-19T00:00:00"/>
    <x v="7"/>
    <n v="16"/>
    <s v="Municipal Maracena"/>
    <x v="1"/>
    <x v="104"/>
    <x v="20"/>
    <x v="17"/>
    <x v="5"/>
    <x v="11"/>
    <x v="3"/>
    <s v="A"/>
  </r>
  <r>
    <x v="8"/>
    <d v="2026-01-19T00:00:00"/>
    <x v="7"/>
    <n v="16"/>
    <s v="Municipal Maracena"/>
    <x v="1"/>
    <x v="104"/>
    <x v="20"/>
    <x v="17"/>
    <x v="3"/>
    <x v="22"/>
    <x v="3"/>
    <m/>
  </r>
  <r>
    <x v="8"/>
    <d v="2026-01-19T00:00:00"/>
    <x v="7"/>
    <n v="16"/>
    <s v="Municipal Maracena"/>
    <x v="1"/>
    <x v="104"/>
    <x v="8"/>
    <x v="17"/>
    <x v="3"/>
    <x v="14"/>
    <x v="3"/>
    <m/>
  </r>
  <r>
    <x v="8"/>
    <d v="2026-01-19T00:00:00"/>
    <x v="7"/>
    <n v="16"/>
    <s v="Municipal Maracena"/>
    <x v="1"/>
    <x v="104"/>
    <x v="18"/>
    <x v="17"/>
    <x v="2"/>
    <x v="20"/>
    <x v="3"/>
    <s v="A"/>
  </r>
  <r>
    <x v="8"/>
    <d v="2026-01-19T00:00:00"/>
    <x v="7"/>
    <n v="16"/>
    <s v="Municipal Maracena"/>
    <x v="1"/>
    <x v="104"/>
    <x v="18"/>
    <x v="17"/>
    <x v="2"/>
    <x v="11"/>
    <x v="3"/>
    <s v="A"/>
  </r>
  <r>
    <x v="8"/>
    <d v="2026-01-19T00:00:00"/>
    <x v="7"/>
    <n v="16"/>
    <s v="Municipal Maracena"/>
    <x v="1"/>
    <x v="104"/>
    <x v="20"/>
    <x v="17"/>
    <x v="3"/>
    <x v="11"/>
    <x v="3"/>
    <s v="A"/>
  </r>
  <r>
    <x v="8"/>
    <d v="2026-01-19T00:00:00"/>
    <x v="7"/>
    <n v="16"/>
    <s v="Municipal Maracena"/>
    <x v="1"/>
    <x v="104"/>
    <x v="18"/>
    <x v="17"/>
    <x v="3"/>
    <x v="20"/>
    <x v="3"/>
    <s v="A"/>
  </r>
  <r>
    <x v="8"/>
    <d v="2026-01-19T00:00:00"/>
    <x v="7"/>
    <n v="16"/>
    <s v="Municipal Maracena"/>
    <x v="1"/>
    <x v="104"/>
    <x v="18"/>
    <x v="17"/>
    <x v="3"/>
    <x v="20"/>
    <x v="3"/>
    <s v="A"/>
  </r>
  <r>
    <x v="8"/>
    <d v="2026-01-19T00:00:00"/>
    <x v="7"/>
    <n v="16"/>
    <s v="Municipal Maracena"/>
    <x v="1"/>
    <x v="104"/>
    <x v="18"/>
    <x v="17"/>
    <x v="3"/>
    <x v="20"/>
    <x v="3"/>
    <s v="A"/>
  </r>
  <r>
    <x v="8"/>
    <d v="2026-01-19T00:00:00"/>
    <x v="7"/>
    <n v="16"/>
    <s v="Municipal Maracena"/>
    <x v="1"/>
    <x v="104"/>
    <x v="18"/>
    <x v="17"/>
    <x v="3"/>
    <x v="20"/>
    <x v="3"/>
    <s v="A"/>
  </r>
  <r>
    <x v="8"/>
    <d v="2026-01-19T00:00:00"/>
    <x v="7"/>
    <n v="16"/>
    <s v="Municipal Maracena"/>
    <x v="1"/>
    <x v="104"/>
    <x v="18"/>
    <x v="17"/>
    <x v="3"/>
    <x v="20"/>
    <x v="3"/>
    <s v="A"/>
  </r>
  <r>
    <x v="8"/>
    <d v="2026-01-19T00:00:00"/>
    <x v="7"/>
    <n v="16"/>
    <s v="Municipal Maracena"/>
    <x v="1"/>
    <x v="104"/>
    <x v="18"/>
    <x v="17"/>
    <x v="3"/>
    <x v="20"/>
    <x v="3"/>
    <s v="A"/>
  </r>
  <r>
    <x v="8"/>
    <d v="2026-01-19T00:00:00"/>
    <x v="7"/>
    <n v="16"/>
    <s v="Municipal Maracena"/>
    <x v="1"/>
    <x v="104"/>
    <x v="18"/>
    <x v="17"/>
    <x v="3"/>
    <x v="20"/>
    <x v="3"/>
    <s v="A"/>
  </r>
  <r>
    <x v="8"/>
    <d v="2026-01-19T00:00:00"/>
    <x v="7"/>
    <n v="16"/>
    <s v="Municipal Maracena"/>
    <x v="1"/>
    <x v="104"/>
    <x v="18"/>
    <x v="17"/>
    <x v="3"/>
    <x v="20"/>
    <x v="3"/>
    <s v="A"/>
  </r>
  <r>
    <x v="8"/>
    <d v="2026-01-19T00:00:00"/>
    <x v="7"/>
    <n v="16"/>
    <s v="Municipal Maracena"/>
    <x v="1"/>
    <x v="104"/>
    <x v="18"/>
    <x v="17"/>
    <x v="3"/>
    <x v="20"/>
    <x v="3"/>
    <s v="A"/>
  </r>
  <r>
    <x v="8"/>
    <d v="2026-01-19T00:00:00"/>
    <x v="7"/>
    <n v="16"/>
    <s v="Municipal Maracena"/>
    <x v="1"/>
    <x v="104"/>
    <x v="18"/>
    <x v="17"/>
    <x v="3"/>
    <x v="20"/>
    <x v="3"/>
    <s v="A"/>
  </r>
  <r>
    <x v="8"/>
    <d v="2026-01-19T00:00:00"/>
    <x v="7"/>
    <n v="16"/>
    <s v="Municipal Maracena"/>
    <x v="1"/>
    <x v="104"/>
    <x v="6"/>
    <x v="17"/>
    <x v="3"/>
    <x v="21"/>
    <x v="3"/>
    <m/>
  </r>
  <r>
    <x v="8"/>
    <d v="2026-01-19T00:00:00"/>
    <x v="7"/>
    <n v="16"/>
    <s v="Municipal Maracena"/>
    <x v="1"/>
    <x v="104"/>
    <x v="18"/>
    <x v="17"/>
    <x v="3"/>
    <x v="11"/>
    <x v="3"/>
    <m/>
  </r>
  <r>
    <x v="8"/>
    <d v="2026-01-19T00:00:00"/>
    <x v="7"/>
    <n v="16"/>
    <s v="Municipal Maracena"/>
    <x v="1"/>
    <x v="104"/>
    <x v="20"/>
    <x v="25"/>
    <x v="2"/>
    <x v="19"/>
    <x v="3"/>
    <m/>
  </r>
  <r>
    <x v="8"/>
    <d v="2026-01-19T00:00:00"/>
    <x v="7"/>
    <n v="16"/>
    <s v="Municipal Maracena"/>
    <x v="1"/>
    <x v="104"/>
    <x v="6"/>
    <x v="17"/>
    <x v="3"/>
    <x v="21"/>
    <x v="3"/>
    <m/>
  </r>
  <r>
    <x v="8"/>
    <d v="2026-01-19T00:00:00"/>
    <x v="7"/>
    <n v="16"/>
    <s v="Municipal Maracena"/>
    <x v="1"/>
    <x v="104"/>
    <x v="18"/>
    <x v="8"/>
    <x v="3"/>
    <x v="14"/>
    <x v="3"/>
    <m/>
  </r>
  <r>
    <x v="8"/>
    <d v="2026-01-19T00:00:00"/>
    <x v="7"/>
    <n v="16"/>
    <s v="Municipal Maracena"/>
    <x v="1"/>
    <x v="104"/>
    <x v="6"/>
    <x v="29"/>
    <x v="5"/>
    <x v="11"/>
    <x v="3"/>
    <m/>
  </r>
  <r>
    <x v="8"/>
    <d v="2026-01-19T00:00:00"/>
    <x v="7"/>
    <n v="16"/>
    <s v="Municipal Maracena"/>
    <x v="1"/>
    <x v="104"/>
    <x v="6"/>
    <x v="29"/>
    <x v="5"/>
    <x v="11"/>
    <x v="3"/>
    <m/>
  </r>
  <r>
    <x v="8"/>
    <d v="2026-01-19T00:00:00"/>
    <x v="7"/>
    <n v="16"/>
    <s v="Municipal Maracena"/>
    <x v="1"/>
    <x v="104"/>
    <x v="16"/>
    <x v="27"/>
    <x v="5"/>
    <x v="11"/>
    <x v="3"/>
    <m/>
  </r>
  <r>
    <x v="8"/>
    <d v="2026-01-19T00:00:00"/>
    <x v="7"/>
    <n v="16"/>
    <s v="Municipal Maracena"/>
    <x v="1"/>
    <x v="104"/>
    <x v="16"/>
    <x v="29"/>
    <x v="2"/>
    <x v="14"/>
    <x v="3"/>
    <m/>
  </r>
  <r>
    <x v="8"/>
    <d v="2026-01-19T00:00:00"/>
    <x v="7"/>
    <n v="16"/>
    <s v="Municipal Maracena"/>
    <x v="1"/>
    <x v="104"/>
    <x v="8"/>
    <x v="17"/>
    <x v="3"/>
    <x v="11"/>
    <x v="3"/>
    <m/>
  </r>
  <r>
    <x v="8"/>
    <d v="2026-01-19T00:00:00"/>
    <x v="7"/>
    <n v="16"/>
    <s v="Municipal Maracena"/>
    <x v="1"/>
    <x v="104"/>
    <x v="23"/>
    <x v="20"/>
    <x v="5"/>
    <x v="11"/>
    <x v="3"/>
    <m/>
  </r>
  <r>
    <x v="8"/>
    <d v="2026-01-19T00:00:00"/>
    <x v="7"/>
    <n v="16"/>
    <s v="Municipal Maracena"/>
    <x v="1"/>
    <x v="104"/>
    <x v="23"/>
    <x v="20"/>
    <x v="5"/>
    <x v="11"/>
    <x v="3"/>
    <m/>
  </r>
  <r>
    <x v="8"/>
    <d v="2026-01-19T00:00:00"/>
    <x v="7"/>
    <n v="16"/>
    <s v="Municipal Maracena"/>
    <x v="1"/>
    <x v="104"/>
    <x v="23"/>
    <x v="20"/>
    <x v="5"/>
    <x v="11"/>
    <x v="3"/>
    <m/>
  </r>
  <r>
    <x v="8"/>
    <d v="2026-01-19T00:00:00"/>
    <x v="7"/>
    <n v="16"/>
    <s v="Municipal Maracena"/>
    <x v="1"/>
    <x v="104"/>
    <x v="23"/>
    <x v="20"/>
    <x v="5"/>
    <x v="11"/>
    <x v="3"/>
    <m/>
  </r>
  <r>
    <x v="8"/>
    <d v="2026-01-19T00:00:00"/>
    <x v="7"/>
    <n v="16"/>
    <s v="Municipal Maracena"/>
    <x v="1"/>
    <x v="104"/>
    <x v="23"/>
    <x v="20"/>
    <x v="5"/>
    <x v="11"/>
    <x v="3"/>
    <m/>
  </r>
  <r>
    <x v="8"/>
    <d v="2026-01-19T00:00:00"/>
    <x v="7"/>
    <n v="16"/>
    <s v="Municipal Maracena"/>
    <x v="1"/>
    <x v="104"/>
    <x v="23"/>
    <x v="20"/>
    <x v="5"/>
    <x v="11"/>
    <x v="3"/>
    <m/>
  </r>
  <r>
    <x v="8"/>
    <d v="2026-01-19T00:00:00"/>
    <x v="7"/>
    <n v="16"/>
    <s v="Municipal Maracena"/>
    <x v="1"/>
    <x v="104"/>
    <x v="23"/>
    <x v="20"/>
    <x v="5"/>
    <x v="11"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0E1F62-FAD5-6349-B132-7F9B79A7B8EA}" name="TablaDinámica1" cacheId="1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H53:O75" firstHeaderRow="1" firstDataRow="2" firstDataCol="1" rowPageCount="2" colPageCount="1"/>
  <pivotFields count="13">
    <pivotField axis="axisPage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showAll="0">
      <items count="10">
        <item h="1" x="2"/>
        <item h="1" x="3"/>
        <item h="1" x="1"/>
        <item x="5"/>
        <item h="1" x="7"/>
        <item h="1" x="0"/>
        <item h="1" x="6"/>
        <item h="1" x="4"/>
        <item h="1" m="1" x="8"/>
        <item t="default"/>
      </items>
    </pivotField>
    <pivotField showAll="0"/>
    <pivotField showAll="0"/>
    <pivotField showAll="0"/>
    <pivotField dataField="1" showAll="0"/>
    <pivotField axis="axisPage" showAll="0">
      <items count="29">
        <item x="10"/>
        <item m="1" x="26"/>
        <item x="19"/>
        <item m="1" x="24"/>
        <item x="5"/>
        <item x="1"/>
        <item x="2"/>
        <item x="3"/>
        <item x="7"/>
        <item x="0"/>
        <item x="14"/>
        <item m="1" x="25"/>
        <item x="12"/>
        <item x="11"/>
        <item x="9"/>
        <item x="13"/>
        <item m="1" x="27"/>
        <item x="15"/>
        <item x="16"/>
        <item x="23"/>
        <item x="21"/>
        <item x="17"/>
        <item x="18"/>
        <item x="4"/>
        <item x="6"/>
        <item x="8"/>
        <item x="20"/>
        <item x="22"/>
        <item t="default"/>
      </items>
    </pivotField>
    <pivotField axis="axisRow" showAll="0">
      <items count="35">
        <item x="15"/>
        <item x="18"/>
        <item x="10"/>
        <item x="19"/>
        <item x="0"/>
        <item x="4"/>
        <item x="17"/>
        <item x="16"/>
        <item x="5"/>
        <item x="8"/>
        <item x="11"/>
        <item x="13"/>
        <item x="1"/>
        <item x="7"/>
        <item x="12"/>
        <item x="9"/>
        <item x="2"/>
        <item x="3"/>
        <item x="6"/>
        <item x="14"/>
        <item x="20"/>
        <item m="1" x="33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t="default"/>
      </items>
    </pivotField>
    <pivotField axis="axisCol" showAll="0">
      <items count="9">
        <item x="4"/>
        <item x="0"/>
        <item x="3"/>
        <item x="1"/>
        <item x="2"/>
        <item x="5"/>
        <item m="1" x="6"/>
        <item m="1" x="7"/>
        <item t="default"/>
      </items>
    </pivotField>
    <pivotField showAll="0"/>
    <pivotField showAll="0"/>
    <pivotField showAll="0"/>
  </pivotFields>
  <rowFields count="1">
    <field x="8"/>
  </rowFields>
  <rowItems count="21">
    <i>
      <x v="1"/>
    </i>
    <i>
      <x v="3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 t="grand">
      <x/>
    </i>
  </rowItems>
  <colFields count="1">
    <field x="9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pageFields count="2">
    <pageField fld="0" hier="-1"/>
    <pageField fld="7" hier="-1"/>
  </pageFields>
  <dataFields count="1">
    <dataField name="Cuenta de MINUTO" fld="6" subtotal="count" baseField="0" baseItem="0"/>
  </dataFields>
  <formats count="2">
    <format dxfId="3">
      <pivotArea collapsedLevelsAreSubtotals="1" fieldPosition="0">
        <references count="2">
          <reference field="8" count="18">
            <x v="1"/>
            <x v="2"/>
            <x v="3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9" count="5" selected="0">
            <x v="1"/>
            <x v="2"/>
            <x v="3"/>
            <x v="4"/>
            <x v="5"/>
          </reference>
        </references>
      </pivotArea>
    </format>
    <format dxfId="2">
      <pivotArea field="8" grandCol="1" collapsedLevelsAreSubtotals="1" axis="axisRow" fieldPosition="0">
        <references count="1">
          <reference field="8" count="18">
            <x v="1"/>
            <x v="2"/>
            <x v="3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4BAA6B7-F2FE-B647-BB5D-1EAA64DFB4FB}" name="TablaDinámica1" cacheId="1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5:V21" firstHeaderRow="1" firstDataRow="2" firstDataCol="1" rowPageCount="2" colPageCount="1"/>
  <pivotFields count="13">
    <pivotField axis="axisPage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axis="axisPage" multipleItemSelectionAllowed="1" showAll="0">
      <items count="10">
        <item h="1" x="0"/>
        <item h="1" x="1"/>
        <item h="1" m="1" x="8"/>
        <item h="1" x="2"/>
        <item h="1" x="3"/>
        <item h="1" x="4"/>
        <item x="5"/>
        <item h="1" x="6"/>
        <item h="1" x="7"/>
        <item t="default"/>
      </items>
    </pivotField>
    <pivotField showAll="0"/>
    <pivotField showAll="0"/>
    <pivotField showAll="0"/>
    <pivotField dataField="1" showAll="0"/>
    <pivotField axis="axisRow" showAll="0">
      <items count="29">
        <item x="10"/>
        <item m="1" x="26"/>
        <item x="19"/>
        <item m="1" x="24"/>
        <item x="5"/>
        <item x="1"/>
        <item x="2"/>
        <item x="3"/>
        <item x="7"/>
        <item x="0"/>
        <item x="14"/>
        <item m="1" x="25"/>
        <item x="12"/>
        <item x="11"/>
        <item x="9"/>
        <item x="13"/>
        <item m="1" x="27"/>
        <item x="15"/>
        <item x="16"/>
        <item x="23"/>
        <item x="21"/>
        <item x="17"/>
        <item x="18"/>
        <item x="4"/>
        <item x="6"/>
        <item x="8"/>
        <item x="20"/>
        <item x="22"/>
        <item t="default"/>
      </items>
    </pivotField>
    <pivotField axis="axisCol" showAll="0">
      <items count="35">
        <item x="15"/>
        <item x="10"/>
        <item x="0"/>
        <item x="4"/>
        <item x="5"/>
        <item x="8"/>
        <item x="11"/>
        <item x="13"/>
        <item x="1"/>
        <item x="7"/>
        <item x="12"/>
        <item x="9"/>
        <item x="2"/>
        <item x="3"/>
        <item x="6"/>
        <item x="14"/>
        <item x="16"/>
        <item x="17"/>
        <item x="18"/>
        <item x="20"/>
        <item x="19"/>
        <item m="1" x="33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t="default"/>
      </items>
    </pivotField>
    <pivotField showAll="0"/>
    <pivotField showAll="0"/>
    <pivotField showAll="0"/>
    <pivotField showAll="0"/>
  </pivotFields>
  <rowFields count="1">
    <field x="7"/>
  </rowFields>
  <rowItems count="15">
    <i>
      <x v="2"/>
    </i>
    <i>
      <x v="4"/>
    </i>
    <i>
      <x v="5"/>
    </i>
    <i>
      <x v="6"/>
    </i>
    <i>
      <x v="7"/>
    </i>
    <i>
      <x v="9"/>
    </i>
    <i>
      <x v="12"/>
    </i>
    <i>
      <x v="13"/>
    </i>
    <i>
      <x v="14"/>
    </i>
    <i>
      <x v="18"/>
    </i>
    <i>
      <x v="19"/>
    </i>
    <i>
      <x v="25"/>
    </i>
    <i>
      <x v="26"/>
    </i>
    <i>
      <x v="27"/>
    </i>
    <i t="grand">
      <x/>
    </i>
  </rowItems>
  <colFields count="1">
    <field x="8"/>
  </colFields>
  <colItems count="21"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 t="grand">
      <x/>
    </i>
  </colItems>
  <pageFields count="2">
    <pageField fld="0" hier="-1"/>
    <pageField fld="2" hier="-1"/>
  </pageFields>
  <dataFields count="1">
    <dataField name="Cuenta de MINUTO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D60041-D52E-184F-98D5-61679E687C30}" name="TablaDinámica6" cacheId="1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M56:S59" firstHeaderRow="1" firstDataRow="2" firstDataCol="1" rowPageCount="1" colPageCount="1"/>
  <pivotFields count="13">
    <pivotField axis="axisPage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axis="axisRow" showAll="0">
      <items count="35">
        <item x="21"/>
        <item h="1" x="15"/>
        <item h="1" x="18"/>
        <item h="1" x="10"/>
        <item h="1" x="19"/>
        <item h="1" x="0"/>
        <item h="1" x="4"/>
        <item h="1" x="17"/>
        <item h="1" x="16"/>
        <item h="1" x="5"/>
        <item h="1" x="8"/>
        <item h="1" x="11"/>
        <item h="1" x="13"/>
        <item h="1" x="1"/>
        <item h="1" x="7"/>
        <item h="1" x="12"/>
        <item h="1" x="9"/>
        <item h="1" x="2"/>
        <item h="1" x="3"/>
        <item h="1" x="6"/>
        <item h="1" m="1" x="33"/>
        <item h="1" x="14"/>
        <item h="1" x="20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t="default"/>
      </items>
    </pivotField>
    <pivotField axis="axisCol" showAll="0">
      <items count="9">
        <item m="1" x="6"/>
        <item x="4"/>
        <item x="0"/>
        <item x="3"/>
        <item x="1"/>
        <item x="2"/>
        <item m="1" x="7"/>
        <item x="5"/>
        <item t="default"/>
      </items>
    </pivotField>
    <pivotField showAll="0"/>
    <pivotField showAll="0"/>
    <pivotField showAll="0"/>
  </pivotFields>
  <rowFields count="1">
    <field x="8"/>
  </rowFields>
  <rowItems count="2">
    <i>
      <x/>
    </i>
    <i t="grand">
      <x/>
    </i>
  </rowItems>
  <colFields count="1">
    <field x="9"/>
  </colFields>
  <colItems count="6">
    <i>
      <x v="2"/>
    </i>
    <i>
      <x v="3"/>
    </i>
    <i>
      <x v="4"/>
    </i>
    <i>
      <x v="5"/>
    </i>
    <i>
      <x v="7"/>
    </i>
    <i t="grand">
      <x/>
    </i>
  </colItems>
  <pageFields count="1">
    <pageField fld="0" hier="-1"/>
  </pageFields>
  <dataFields count="1">
    <dataField name="Cuenta de MINUTO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17709D4-6913-CE4F-96DD-5DBD3EB4E23D}" name="TablaDinámica7" cacheId="1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K34:L39" firstHeaderRow="1" firstDataRow="1" firstDataCol="1" rowPageCount="1" colPageCount="1"/>
  <pivotFields count="13">
    <pivotField multipleItemSelectionAllowed="1" showAll="0"/>
    <pivotField showAll="0"/>
    <pivotField axis="axisPage" multipleItemSelectionAllowed="1" showAll="0">
      <items count="10">
        <item h="1" x="2"/>
        <item h="1" x="1"/>
        <item h="1" x="0"/>
        <item h="1" m="1" x="8"/>
        <item h="1" x="3"/>
        <item h="1" x="4"/>
        <item x="5"/>
        <item h="1" x="6"/>
        <item h="1" x="7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axis="axisRow" showAll="0">
      <items count="5">
        <item x="1"/>
        <item x="2"/>
        <item x="0"/>
        <item x="3"/>
        <item t="default"/>
      </items>
    </pivotField>
    <pivotField showAll="0"/>
  </pivotFields>
  <rowFields count="1">
    <field x="11"/>
  </rowFields>
  <rowItems count="5">
    <i>
      <x/>
    </i>
    <i>
      <x v="1"/>
    </i>
    <i>
      <x v="2"/>
    </i>
    <i>
      <x v="3"/>
    </i>
    <i t="grand">
      <x/>
    </i>
  </rowItems>
  <colItems count="1">
    <i/>
  </colItems>
  <pageFields count="1">
    <pageField fld="2" hier="-1"/>
  </pageFields>
  <dataFields count="1">
    <dataField name="Cuenta de MINUTO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9235E5-72B5-D34F-B1C0-2D2628EF6198}" name="TablaDinámica4" cacheId="1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63:H85" firstHeaderRow="1" firstDataRow="2" firstDataCol="1" rowPageCount="3" colPageCount="1"/>
  <pivotFields count="13">
    <pivotField multipleItemSelectionAllowed="1" showAll="0"/>
    <pivotField showAll="0"/>
    <pivotField axis="axisPage" multipleItemSelectionAllowed="1" showAll="0">
      <items count="10">
        <item h="1" x="2"/>
        <item h="1" x="3"/>
        <item h="1" x="1"/>
        <item x="5"/>
        <item h="1" x="0"/>
        <item h="1" x="4"/>
        <item h="1" m="1" x="8"/>
        <item h="1" x="6"/>
        <item h="1" x="7"/>
        <item t="default"/>
      </items>
    </pivotField>
    <pivotField showAll="0"/>
    <pivotField showAll="0"/>
    <pivotField showAll="0"/>
    <pivotField axis="axisPage" dataField="1" multipleItemSelectionAllowed="1" showAll="0">
      <items count="106">
        <item h="1" x="78"/>
        <item h="1" x="0"/>
        <item h="1" x="1"/>
        <item h="1" x="2"/>
        <item h="1" x="3"/>
        <item h="1" x="4"/>
        <item h="1" x="5"/>
        <item h="1" x="80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81"/>
        <item h="1" x="17"/>
        <item h="1" x="18"/>
        <item h="1" x="19"/>
        <item h="1" x="20"/>
        <item h="1" x="21"/>
        <item h="1" x="24"/>
        <item h="1" x="82"/>
        <item h="1" x="22"/>
        <item h="1" x="23"/>
        <item h="1" x="85"/>
        <item h="1" x="25"/>
        <item h="1" x="26"/>
        <item h="1" x="83"/>
        <item h="1" x="29"/>
        <item h="1" x="84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27"/>
        <item h="1" x="28"/>
        <item h="1" x="46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4"/>
        <item h="1" x="45"/>
        <item h="1" x="73"/>
        <item h="1" x="74"/>
        <item h="1" x="47"/>
        <item h="1" x="48"/>
        <item h="1" x="49"/>
        <item h="1" x="75"/>
        <item h="1" x="76"/>
        <item h="1" x="77"/>
        <item h="1" x="87"/>
        <item h="1" x="90"/>
        <item h="1" x="94"/>
        <item h="1" x="92"/>
        <item h="1" x="96"/>
        <item h="1" x="86"/>
        <item h="1" x="89"/>
        <item h="1" x="88"/>
        <item h="1" x="93"/>
        <item h="1" x="91"/>
        <item h="1" x="95"/>
        <item h="1" x="79"/>
        <item x="97"/>
        <item x="98"/>
        <item x="99"/>
        <item x="100"/>
        <item x="101"/>
        <item x="102"/>
        <item x="103"/>
        <item x="104"/>
        <item t="default"/>
      </items>
    </pivotField>
    <pivotField axis="axisPage" showAll="0">
      <items count="29">
        <item x="10"/>
        <item m="1" x="26"/>
        <item x="19"/>
        <item m="1" x="24"/>
        <item x="5"/>
        <item x="1"/>
        <item x="2"/>
        <item x="3"/>
        <item x="7"/>
        <item x="0"/>
        <item x="14"/>
        <item m="1" x="25"/>
        <item x="12"/>
        <item x="11"/>
        <item x="9"/>
        <item x="13"/>
        <item m="1" x="27"/>
        <item x="15"/>
        <item x="16"/>
        <item x="23"/>
        <item x="21"/>
        <item x="17"/>
        <item x="18"/>
        <item x="4"/>
        <item x="6"/>
        <item x="8"/>
        <item x="20"/>
        <item x="22"/>
        <item t="default"/>
      </items>
    </pivotField>
    <pivotField axis="axisRow" showAll="0">
      <items count="35">
        <item x="15"/>
        <item x="18"/>
        <item x="10"/>
        <item x="19"/>
        <item x="0"/>
        <item x="4"/>
        <item x="17"/>
        <item x="16"/>
        <item x="5"/>
        <item x="8"/>
        <item x="11"/>
        <item x="13"/>
        <item x="1"/>
        <item x="7"/>
        <item x="12"/>
        <item x="9"/>
        <item x="2"/>
        <item x="3"/>
        <item x="6"/>
        <item x="14"/>
        <item x="20"/>
        <item m="1" x="33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t="default"/>
      </items>
    </pivotField>
    <pivotField axis="axisCol" showAll="0">
      <items count="9">
        <item x="4"/>
        <item x="0"/>
        <item x="3"/>
        <item x="1"/>
        <item x="2"/>
        <item x="5"/>
        <item m="1" x="6"/>
        <item m="1" x="7"/>
        <item t="default"/>
      </items>
    </pivotField>
    <pivotField showAll="0"/>
    <pivotField showAll="0"/>
    <pivotField showAll="0"/>
  </pivotFields>
  <rowFields count="1">
    <field x="8"/>
  </rowFields>
  <rowItems count="21">
    <i>
      <x v="1"/>
    </i>
    <i>
      <x v="3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 t="grand">
      <x/>
    </i>
  </rowItems>
  <colFields count="1">
    <field x="9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pageFields count="3">
    <pageField fld="7" hier="-1"/>
    <pageField fld="6" hier="-1"/>
    <pageField fld="2" hier="-1"/>
  </pageFields>
  <dataFields count="1">
    <dataField name="Cuenta de MINUTO" fld="6" subtotal="count" baseField="0" baseItem="0"/>
  </dataFields>
  <formats count="2">
    <format dxfId="1">
      <pivotArea collapsedLevelsAreSubtotals="1" fieldPosition="0">
        <references count="2">
          <reference field="8" count="18">
            <x v="1"/>
            <x v="2"/>
            <x v="3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9" count="5" selected="0">
            <x v="1"/>
            <x v="2"/>
            <x v="3"/>
            <x v="4"/>
            <x v="5"/>
          </reference>
        </references>
      </pivotArea>
    </format>
    <format dxfId="0">
      <pivotArea field="8" grandCol="1" collapsedLevelsAreSubtotals="1" axis="axisRow" fieldPosition="0">
        <references count="1">
          <reference field="8" count="18">
            <x v="1"/>
            <x v="2"/>
            <x v="3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B5C67E2-50DD-8A4B-9EDF-DA833908C535}" name="TablaDinámica5" cacheId="1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T49:W57" firstHeaderRow="1" firstDataRow="2" firstDataCol="1"/>
  <pivotFields count="13">
    <pivotField showAll="0"/>
    <pivotField showAll="0"/>
    <pivotField axis="axisRow" showAll="0">
      <items count="10">
        <item x="2"/>
        <item x="3"/>
        <item x="1"/>
        <item x="0"/>
        <item m="1" x="8"/>
        <item x="4"/>
        <item x="5"/>
        <item x="6"/>
        <item x="7"/>
        <item t="default"/>
      </items>
    </pivotField>
    <pivotField showAll="0"/>
    <pivotField showAll="0"/>
    <pivotField showAll="0"/>
    <pivotField dataField="1" showAll="0"/>
    <pivotField showAll="0"/>
    <pivotField axis="axisCol" showAll="0">
      <items count="35">
        <item h="1" x="22"/>
        <item h="1" x="21"/>
        <item h="1" x="15"/>
        <item h="1" x="18"/>
        <item h="1" x="10"/>
        <item h="1" x="19"/>
        <item h="1" x="0"/>
        <item h="1" x="4"/>
        <item h="1" x="17"/>
        <item h="1" x="16"/>
        <item h="1" x="5"/>
        <item h="1" x="8"/>
        <item h="1" x="11"/>
        <item h="1" x="13"/>
        <item h="1" x="1"/>
        <item h="1" x="7"/>
        <item h="1" x="12"/>
        <item x="9"/>
        <item x="2"/>
        <item h="1" x="3"/>
        <item h="1" x="6"/>
        <item h="1" m="1" x="33"/>
        <item h="1" x="14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t="default"/>
      </items>
    </pivotField>
    <pivotField showAll="0"/>
    <pivotField showAll="0"/>
    <pivotField showAll="0"/>
    <pivotField showAll="0"/>
  </pivotFields>
  <rowFields count="1">
    <field x="2"/>
  </rowFields>
  <rowItems count="7">
    <i>
      <x/>
    </i>
    <i>
      <x v="1"/>
    </i>
    <i>
      <x v="2"/>
    </i>
    <i>
      <x v="3"/>
    </i>
    <i>
      <x v="5"/>
    </i>
    <i>
      <x v="6"/>
    </i>
    <i t="grand">
      <x/>
    </i>
  </rowItems>
  <colFields count="1">
    <field x="8"/>
  </colFields>
  <colItems count="3">
    <i>
      <x v="17"/>
    </i>
    <i>
      <x v="18"/>
    </i>
    <i t="grand">
      <x/>
    </i>
  </colItems>
  <dataFields count="1">
    <dataField name="Cuenta de MINUTO" fld="6" subtotal="count" baseField="0" baseItem="0"/>
  </dataFields>
  <chartFormats count="23"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5" format="2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  <chartFormat chart="5" format="3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"/>
          </reference>
        </references>
      </pivotArea>
    </chartFormat>
    <chartFormat chart="5" format="4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4"/>
          </reference>
        </references>
      </pivotArea>
    </chartFormat>
    <chartFormat chart="5" format="5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"/>
          </reference>
        </references>
      </pivotArea>
    </chartFormat>
    <chartFormat chart="5" format="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6"/>
          </reference>
        </references>
      </pivotArea>
    </chartFormat>
    <chartFormat chart="5" format="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"/>
          </reference>
        </references>
      </pivotArea>
    </chartFormat>
    <chartFormat chart="5" format="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"/>
          </reference>
        </references>
      </pivotArea>
    </chartFormat>
    <chartFormat chart="5" format="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9"/>
          </reference>
        </references>
      </pivotArea>
    </chartFormat>
    <chartFormat chart="5" format="1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0"/>
          </reference>
        </references>
      </pivotArea>
    </chartFormat>
    <chartFormat chart="5" format="1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1"/>
          </reference>
        </references>
      </pivotArea>
    </chartFormat>
    <chartFormat chart="5" format="12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2"/>
          </reference>
        </references>
      </pivotArea>
    </chartFormat>
    <chartFormat chart="5" format="13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3"/>
          </reference>
        </references>
      </pivotArea>
    </chartFormat>
    <chartFormat chart="5" format="14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4"/>
          </reference>
        </references>
      </pivotArea>
    </chartFormat>
    <chartFormat chart="5" format="15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5"/>
          </reference>
        </references>
      </pivotArea>
    </chartFormat>
    <chartFormat chart="5" format="1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6"/>
          </reference>
        </references>
      </pivotArea>
    </chartFormat>
    <chartFormat chart="5" format="1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7"/>
          </reference>
        </references>
      </pivotArea>
    </chartFormat>
    <chartFormat chart="5" format="1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8"/>
          </reference>
        </references>
      </pivotArea>
    </chartFormat>
    <chartFormat chart="5" format="1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9"/>
          </reference>
        </references>
      </pivotArea>
    </chartFormat>
    <chartFormat chart="5" format="2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0"/>
          </reference>
        </references>
      </pivotArea>
    </chartFormat>
    <chartFormat chart="5" format="2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2"/>
          </reference>
        </references>
      </pivotArea>
    </chartFormat>
    <chartFormat chart="5" format="22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622214-A2CD-EA44-B26E-4AFBE6E1F723}" name="TablaDinámica8" cacheId="1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T63:Y71" firstHeaderRow="1" firstDataRow="2" firstDataCol="1" rowPageCount="2" colPageCount="1"/>
  <pivotFields count="13">
    <pivotField showAll="0"/>
    <pivotField showAll="0"/>
    <pivotField axis="axisRow" showAll="0">
      <items count="10">
        <item x="2"/>
        <item x="3"/>
        <item x="1"/>
        <item x="0"/>
        <item x="4"/>
        <item h="1" m="1" x="8"/>
        <item x="5"/>
        <item h="1" x="6"/>
        <item h="1" x="7"/>
        <item t="default"/>
      </items>
    </pivotField>
    <pivotField showAll="0"/>
    <pivotField showAll="0"/>
    <pivotField showAll="0"/>
    <pivotField axis="axisPage" dataField="1" showAll="0">
      <items count="106">
        <item x="78"/>
        <item x="0"/>
        <item x="1"/>
        <item x="2"/>
        <item x="3"/>
        <item x="4"/>
        <item x="5"/>
        <item x="80"/>
        <item x="6"/>
        <item x="7"/>
        <item x="8"/>
        <item x="9"/>
        <item x="10"/>
        <item x="11"/>
        <item x="12"/>
        <item x="13"/>
        <item x="14"/>
        <item x="15"/>
        <item x="16"/>
        <item x="81"/>
        <item x="17"/>
        <item x="18"/>
        <item x="19"/>
        <item x="20"/>
        <item x="21"/>
        <item x="24"/>
        <item x="82"/>
        <item x="22"/>
        <item x="23"/>
        <item x="85"/>
        <item x="25"/>
        <item x="26"/>
        <item x="83"/>
        <item x="29"/>
        <item x="84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27"/>
        <item x="28"/>
        <item x="46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44"/>
        <item x="45"/>
        <item x="73"/>
        <item x="74"/>
        <item x="47"/>
        <item x="48"/>
        <item x="49"/>
        <item x="75"/>
        <item x="76"/>
        <item x="77"/>
        <item x="87"/>
        <item x="90"/>
        <item x="94"/>
        <item x="92"/>
        <item x="96"/>
        <item x="97"/>
        <item x="98"/>
        <item x="99"/>
        <item x="100"/>
        <item x="101"/>
        <item x="102"/>
        <item x="86"/>
        <item x="89"/>
        <item x="88"/>
        <item x="93"/>
        <item x="91"/>
        <item x="95"/>
        <item x="79"/>
        <item x="103"/>
        <item x="104"/>
        <item t="default"/>
      </items>
    </pivotField>
    <pivotField showAll="0"/>
    <pivotField axis="axisPage" multipleItemSelectionAllowed="1" showAll="0">
      <items count="35">
        <item x="22"/>
        <item h="1" x="21"/>
        <item x="15"/>
        <item x="18"/>
        <item x="10"/>
        <item x="19"/>
        <item x="0"/>
        <item x="4"/>
        <item x="17"/>
        <item x="16"/>
        <item x="5"/>
        <item h="1" x="8"/>
        <item h="1" x="11"/>
        <item x="13"/>
        <item x="1"/>
        <item x="7"/>
        <item x="12"/>
        <item x="9"/>
        <item x="2"/>
        <item x="3"/>
        <item x="6"/>
        <item h="1" m="1" x="33"/>
        <item h="1" x="14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t="default"/>
      </items>
    </pivotField>
    <pivotField axis="axisCol" showAll="0">
      <items count="9">
        <item m="1" x="6"/>
        <item x="4"/>
        <item x="0"/>
        <item x="3"/>
        <item x="1"/>
        <item x="2"/>
        <item m="1" x="7"/>
        <item h="1" x="5"/>
        <item t="default"/>
      </items>
    </pivotField>
    <pivotField showAll="0"/>
    <pivotField showAll="0"/>
    <pivotField showAll="0"/>
  </pivotFields>
  <rowFields count="1">
    <field x="2"/>
  </rowFields>
  <rowItems count="7">
    <i>
      <x/>
    </i>
    <i>
      <x v="1"/>
    </i>
    <i>
      <x v="2"/>
    </i>
    <i>
      <x v="3"/>
    </i>
    <i>
      <x v="4"/>
    </i>
    <i>
      <x v="6"/>
    </i>
    <i t="grand">
      <x/>
    </i>
  </rowItems>
  <colFields count="1">
    <field x="9"/>
  </colFields>
  <colItems count="5">
    <i>
      <x v="2"/>
    </i>
    <i>
      <x v="3"/>
    </i>
    <i>
      <x v="4"/>
    </i>
    <i>
      <x v="5"/>
    </i>
    <i t="grand">
      <x/>
    </i>
  </colItems>
  <pageFields count="2">
    <pageField fld="6" hier="-1"/>
    <pageField fld="8" hier="-1"/>
  </pageFields>
  <dataFields count="1">
    <dataField name="Cuenta de MINUTO" fld="6" subtotal="count" baseField="0" baseItem="0"/>
  </dataFields>
  <chartFormats count="1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5"/>
          </reference>
        </references>
      </pivotArea>
    </chartFormat>
    <chartFormat chart="4" format="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4" format="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4" format="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4" format="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5"/>
          </reference>
        </references>
      </pivotArea>
    </chartFormat>
    <chartFormat chart="5" format="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5" format="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5" format="1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5" format="1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684CE6A-3EDC-D342-B840-E6E20F1CE774}" name="TablaDinámica2" cacheId="1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42:F55" firstHeaderRow="1" firstDataRow="2" firstDataCol="1" rowPageCount="4" colPageCount="1"/>
  <pivotFields count="13">
    <pivotField axis="axisPage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axis="axisPage" multipleItemSelectionAllowed="1" showAll="0">
      <items count="10">
        <item h="1" x="0"/>
        <item h="1" x="1"/>
        <item h="1" m="1" x="8"/>
        <item h="1" x="2"/>
        <item h="1" x="3"/>
        <item h="1" x="4"/>
        <item x="5"/>
        <item h="1" x="6"/>
        <item h="1" x="7"/>
        <item t="default"/>
      </items>
    </pivotField>
    <pivotField showAll="0"/>
    <pivotField showAll="0"/>
    <pivotField axis="axisPage" showAll="0">
      <items count="3">
        <item x="0"/>
        <item x="1"/>
        <item t="default"/>
      </items>
    </pivotField>
    <pivotField dataField="1" showAll="0"/>
    <pivotField axis="axisPage" multipleItemSelectionAllowed="1" showAll="0">
      <items count="29">
        <item x="10"/>
        <item m="1" x="26"/>
        <item x="19"/>
        <item m="1" x="24"/>
        <item x="5"/>
        <item x="1"/>
        <item x="2"/>
        <item x="3"/>
        <item x="7"/>
        <item x="0"/>
        <item x="14"/>
        <item m="1" x="25"/>
        <item x="12"/>
        <item x="11"/>
        <item x="9"/>
        <item x="13"/>
        <item m="1" x="27"/>
        <item x="15"/>
        <item x="16"/>
        <item x="23"/>
        <item x="21"/>
        <item x="17"/>
        <item x="18"/>
        <item x="4"/>
        <item x="6"/>
        <item x="8"/>
        <item x="20"/>
        <item x="22"/>
        <item t="default"/>
      </items>
    </pivotField>
    <pivotField showAll="0"/>
    <pivotField showAll="0"/>
    <pivotField axis="axisRow" showAll="0">
      <items count="24">
        <item x="0"/>
        <item x="4"/>
        <item x="1"/>
        <item x="2"/>
        <item x="9"/>
        <item x="10"/>
        <item x="3"/>
        <item x="5"/>
        <item x="8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axis="axisCol" showAll="0">
      <items count="5">
        <item x="1"/>
        <item x="2"/>
        <item x="0"/>
        <item x="3"/>
        <item t="default"/>
      </items>
    </pivotField>
    <pivotField showAll="0"/>
  </pivotFields>
  <rowFields count="1">
    <field x="1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9"/>
    </i>
    <i>
      <x v="10"/>
    </i>
    <i>
      <x v="11"/>
    </i>
    <i t="grand">
      <x/>
    </i>
  </rowItems>
  <colFields count="1">
    <field x="11"/>
  </colFields>
  <colItems count="5">
    <i>
      <x/>
    </i>
    <i>
      <x v="1"/>
    </i>
    <i>
      <x v="2"/>
    </i>
    <i>
      <x v="3"/>
    </i>
    <i t="grand">
      <x/>
    </i>
  </colItems>
  <pageFields count="4">
    <pageField fld="0" hier="-1"/>
    <pageField fld="2" hier="-1"/>
    <pageField fld="5" hier="-1"/>
    <pageField fld="7" hier="-1"/>
  </pageFields>
  <dataFields count="1">
    <dataField name="Cuenta de MINUTO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01105ED-610A-5E44-9132-ED8F212A5AA2}" name="TablaDinámica3" cacheId="1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J47:K54" firstHeaderRow="1" firstDataRow="1" firstDataCol="1" rowPageCount="2" colPageCount="1"/>
  <pivotFields count="13">
    <pivotField axis="axisPage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showAll="0">
      <items count="10">
        <item h="1" x="2"/>
        <item h="1" x="3"/>
        <item h="1" x="1"/>
        <item x="5"/>
        <item h="1" x="7"/>
        <item h="1" x="0"/>
        <item h="1" x="6"/>
        <item h="1" x="4"/>
        <item h="1" m="1" x="8"/>
        <item t="default"/>
      </items>
    </pivotField>
    <pivotField showAll="0"/>
    <pivotField showAll="0"/>
    <pivotField showAll="0"/>
    <pivotField dataField="1" showAll="0"/>
    <pivotField axis="axisPage" multipleItemSelectionAllowed="1" showAll="0">
      <items count="29">
        <item x="10"/>
        <item m="1" x="26"/>
        <item x="19"/>
        <item m="1" x="24"/>
        <item x="5"/>
        <item x="1"/>
        <item x="2"/>
        <item x="3"/>
        <item x="7"/>
        <item x="0"/>
        <item x="14"/>
        <item m="1" x="25"/>
        <item x="12"/>
        <item x="11"/>
        <item x="9"/>
        <item x="13"/>
        <item m="1" x="27"/>
        <item x="15"/>
        <item x="16"/>
        <item x="23"/>
        <item x="21"/>
        <item x="17"/>
        <item x="18"/>
        <item x="4"/>
        <item x="6"/>
        <item x="8"/>
        <item x="20"/>
        <item x="22"/>
        <item t="default"/>
      </items>
    </pivotField>
    <pivotField showAll="0"/>
    <pivotField axis="axisRow" showAll="0">
      <items count="9">
        <item x="4"/>
        <item x="0"/>
        <item x="3"/>
        <item x="1"/>
        <item x="2"/>
        <item x="5"/>
        <item m="1" x="6"/>
        <item m="1" x="7"/>
        <item t="default"/>
      </items>
    </pivotField>
    <pivotField showAll="0"/>
    <pivotField showAll="0"/>
    <pivotField showAll="0"/>
  </pivotFields>
  <rowFields count="1">
    <field x="9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pageFields count="2">
    <pageField fld="0" hier="-1"/>
    <pageField fld="7" hier="-1"/>
  </pageFields>
  <dataFields count="1">
    <dataField name="Cuenta de MINUTO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JUGADOR" xr10:uid="{E7BA81FD-36DB-BE47-93DA-5C2BA21B98EA}" sourceName="JUGADOR">
  <pivotTables>
    <pivotTable tabId="15" name="TablaDinámica1"/>
    <pivotTable tabId="15" name="TablaDinámica2"/>
    <pivotTable tabId="15" name="TablaDinámica3"/>
    <pivotTable tabId="15" name="TablaDinámica4"/>
    <pivotTable tabId="1" name="TablaDinámica1"/>
  </pivotTables>
  <data>
    <tabular pivotCacheId="408629461">
      <items count="28">
        <i x="19" s="1"/>
        <i x="5" s="1"/>
        <i x="20" s="1"/>
        <i x="1" s="1"/>
        <i x="16" s="1"/>
        <i x="2" s="1"/>
        <i x="3" s="1"/>
        <i x="0" s="1"/>
        <i x="22" s="1"/>
        <i x="8" s="1"/>
        <i x="12" s="1"/>
        <i x="11" s="1"/>
        <i x="9" s="1"/>
        <i x="23" s="1"/>
        <i x="18" s="1" nd="1"/>
        <i x="10" s="1" nd="1"/>
        <i x="26" s="1" nd="1"/>
        <i x="6" s="1" nd="1"/>
        <i x="24" s="1" nd="1"/>
        <i x="4" s="1" nd="1"/>
        <i x="15" s="1" nd="1"/>
        <i x="17" s="1" nd="1"/>
        <i x="7" s="1" nd="1"/>
        <i x="14" s="1" nd="1"/>
        <i x="25" s="1" nd="1"/>
        <i x="21" s="1" nd="1"/>
        <i x="13" s="1" nd="1"/>
        <i x="27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IVAL" xr10:uid="{0A0B23D7-10C9-5B4A-AD7F-2B569472D478}" sourceName="RIVAL">
  <pivotTables>
    <pivotTable tabId="15" name="TablaDinámica1"/>
    <pivotTable tabId="15" name="TablaDinámica2"/>
    <pivotTable tabId="15" name="TablaDinámica3"/>
    <pivotTable tabId="15" name="TablaDinámica4"/>
    <pivotTable tabId="1" name="TablaDinámica1"/>
    <pivotTable tabId="15" name="TablaDinámica7"/>
  </pivotTables>
  <data>
    <tabular pivotCacheId="408629461">
      <items count="9">
        <i x="2"/>
        <i x="3"/>
        <i x="1"/>
        <i x="5" s="1"/>
        <i x="7"/>
        <i x="0"/>
        <i x="6"/>
        <i x="4"/>
        <i x="8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JUGADOR" xr10:uid="{6F29EA78-A307-3E4B-BC43-410254EE6E7E}" cache="SegmentaciónDeDatos_JUGADOR" caption="JUGADOR" startItem="10" style="SlicerStyleOther1" rowHeight="230716"/>
  <slicer name="RIVAL" xr10:uid="{A185919B-952C-1443-8267-6A979C1B7A15}" cache="SegmentaciónDeDatos_RIVAL" caption="RIVAL" rowHeight="230716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Eventos" displayName="Eventos" ref="A26:G826" totalsRowShown="0">
  <autoFilter ref="A26:G826" xr:uid="{00000000-0009-0000-0100-000001000000}"/>
  <tableColumns count="7">
    <tableColumn id="1" xr3:uid="{00000000-0010-0000-0000-000001000000}" name="Min"/>
    <tableColumn id="2" xr3:uid="{00000000-0010-0000-0000-000002000000}" name="Jugador"/>
    <tableColumn id="3" xr3:uid="{00000000-0010-0000-0000-000003000000}" name="Evento"/>
    <tableColumn id="4" xr3:uid="{00000000-0010-0000-0000-000004000000}" name="Resultado"/>
    <tableColumn id="5" xr3:uid="{00000000-0010-0000-0000-000005000000}" name="Zona"/>
    <tableColumn id="6" xr3:uid="{00000000-0010-0000-0000-000006000000}" name="Observación"/>
    <tableColumn id="7" xr3:uid="{C50076E2-A4E6-E84B-8093-37160FC0B129}" name="Tercio" dataDxfId="4">
      <calculatedColumnFormula>IF(OR(Eventos[[#This Row],[Zona]]="Área propia",Eventos[[#This Row],[Zona]]="Costado Derecho",Eventos[[#This Row],[Zona]]="Costado Izquierdo"),"DEFENSA",
 IF(OR(Eventos[[#This Row],[Zona]]="MC",Eventos[[#This Row],[Zona]]="Pivote",Eventos[[#This Row],[Zona]]="Interior Izquierdo",Eventos[[#This Row],[Zona]]="Interior derecha",Eventos[[#This Row],[Zona]]="FrontalE"),"CONSTRUCCIÓN",
 "ATAQUE"))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0D1DFF5-66AD-F149-894D-6EEFB3F1A438}" name="TbiSpro" displayName="TbiSpro" ref="J17:J18" insertRow="1" totalsRowShown="0">
  <autoFilter ref="J17:J18" xr:uid="{20D1DFF5-66AD-F149-894D-6EEFB3F1A438}"/>
  <tableColumns count="1">
    <tableColumn id="1" xr3:uid="{E21A9F57-A031-2A49-892E-5289F3039A76}" name="Columna1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3FD8247-DB23-7F48-9B28-77EE9DC2C6E0}" name="TbiRadar" displayName="TbiRadar" ref="K23:K24" insertRow="1" totalsRowShown="0">
  <autoFilter ref="K23:K24" xr:uid="{A3FD8247-DB23-7F48-9B28-77EE9DC2C6E0}"/>
  <tableColumns count="1">
    <tableColumn id="1" xr3:uid="{62902AFD-2624-604D-875F-A6C89B71CD14}" name="Columna1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7E66E36-DA77-744F-846A-0A68A59C007D}" name="T_eventosBD" displayName="T_eventosBD" ref="A1:M1800" insertRowShift="1" totalsRowShown="0">
  <autoFilter ref="A1:M1800" xr:uid="{77E66E36-DA77-744F-846A-0A68A59C007D}">
    <filterColumn colId="2">
      <filters>
        <filter val="Cuevas"/>
      </filters>
    </filterColumn>
    <filterColumn colId="10">
      <filters>
        <filter val="Frontal"/>
      </filters>
    </filterColumn>
  </autoFilter>
  <sortState xmlns:xlrd2="http://schemas.microsoft.com/office/spreadsheetml/2017/richdata2" ref="A2:M708">
    <sortCondition ref="A1:A708"/>
  </sortState>
  <tableColumns count="13">
    <tableColumn id="1" xr3:uid="{82E5A891-5A4E-D345-83A2-CAB9A8CE8557}" name="PartidoID"/>
    <tableColumn id="2" xr3:uid="{97B61E30-54F8-704B-BEE8-47938CEBDEE5}" name="FECHA"/>
    <tableColumn id="3" xr3:uid="{8DCD93BE-A81F-E044-94D9-C414A9989F4B}" name="RIVAL"/>
    <tableColumn id="4" xr3:uid="{A0E1404A-1178-C444-AC99-2D61D0A98A1F}" name="JORNADA"/>
    <tableColumn id="5" xr3:uid="{644364D8-7296-F748-803B-F2D2A0F9DEC4}" name="CAMPO"/>
    <tableColumn id="6" xr3:uid="{F356044F-C4E9-9B4E-83A4-EDB00B95B6F8}" name="SISTEMA"/>
    <tableColumn id="7" xr3:uid="{BCFF31AE-866A-FB49-9CCD-5E74F78F3BF1}" name="MINUTO"/>
    <tableColumn id="8" xr3:uid="{E12CCA03-8E87-EA48-8BFC-921B5B5771CC}" name="JUGADOR"/>
    <tableColumn id="9" xr3:uid="{FD40C524-2D3C-8F43-8CAB-0888E00B3340}" name="EVENTO"/>
    <tableColumn id="10" xr3:uid="{AA0D91D5-322D-134C-939F-338DF1982668}" name="REsultadoAccion"/>
    <tableColumn id="11" xr3:uid="{A989DDEE-C0B7-4A4D-A923-D2A66B9D5B00}" name="ZONA"/>
    <tableColumn id="12" xr3:uid="{B96157B9-69A4-A148-BDCB-09CBA98CA4E7}" name="TERCIO"/>
    <tableColumn id="13" xr3:uid="{EC407778-46CF-6A46-982A-92046EEF315A}" name="Observacio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9.xml"/><Relationship Id="rId3" Type="http://schemas.openxmlformats.org/officeDocument/2006/relationships/pivotTable" Target="../pivotTables/pivotTable4.xml"/><Relationship Id="rId7" Type="http://schemas.openxmlformats.org/officeDocument/2006/relationships/pivotTable" Target="../pivotTables/pivotTable8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6" Type="http://schemas.openxmlformats.org/officeDocument/2006/relationships/pivotTable" Target="../pivotTables/pivotTable7.xml"/><Relationship Id="rId5" Type="http://schemas.openxmlformats.org/officeDocument/2006/relationships/pivotTable" Target="../pivotTables/pivotTable6.xml"/><Relationship Id="rId4" Type="http://schemas.openxmlformats.org/officeDocument/2006/relationships/pivotTable" Target="../pivotTables/pivotTable5.xml"/><Relationship Id="rId9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G826"/>
  <sheetViews>
    <sheetView workbookViewId="0">
      <pane ySplit="5" topLeftCell="A481" activePane="bottomLeft" state="frozen"/>
      <selection pane="bottomLeft" activeCell="Q534" sqref="Q534"/>
    </sheetView>
  </sheetViews>
  <sheetFormatPr baseColWidth="10" defaultColWidth="8.83203125" defaultRowHeight="15" x14ac:dyDescent="0.2"/>
  <cols>
    <col min="1" max="7" width="18.6640625" customWidth="1"/>
  </cols>
  <sheetData>
    <row r="1" spans="1:7" ht="19" customHeight="1" x14ac:dyDescent="0.25">
      <c r="A1" s="1" t="s">
        <v>42</v>
      </c>
    </row>
    <row r="2" spans="1:7" ht="16" x14ac:dyDescent="0.2">
      <c r="D2" s="2" t="s">
        <v>44</v>
      </c>
    </row>
    <row r="3" spans="1:7" ht="16" customHeight="1" x14ac:dyDescent="0.2">
      <c r="A3" s="2" t="s">
        <v>43</v>
      </c>
      <c r="D3" s="3" t="s">
        <v>45</v>
      </c>
      <c r="E3" s="3" t="s">
        <v>46</v>
      </c>
      <c r="F3" s="3" t="s">
        <v>47</v>
      </c>
      <c r="G3" s="3" t="s">
        <v>48</v>
      </c>
    </row>
    <row r="4" spans="1:7" x14ac:dyDescent="0.2">
      <c r="D4" s="4" t="s">
        <v>45</v>
      </c>
      <c r="E4" s="4" t="s">
        <v>46</v>
      </c>
      <c r="F4" s="4" t="s">
        <v>47</v>
      </c>
      <c r="G4" s="4" t="s">
        <v>48</v>
      </c>
    </row>
    <row r="5" spans="1:7" x14ac:dyDescent="0.2">
      <c r="A5" s="3" t="s">
        <v>49</v>
      </c>
      <c r="B5" s="4" t="s">
        <v>352</v>
      </c>
      <c r="D5" s="4">
        <v>1</v>
      </c>
      <c r="E5" s="4" t="s">
        <v>304</v>
      </c>
      <c r="F5" s="4" t="s">
        <v>254</v>
      </c>
      <c r="G5" s="4"/>
    </row>
    <row r="6" spans="1:7" x14ac:dyDescent="0.2">
      <c r="A6" s="3" t="s">
        <v>51</v>
      </c>
      <c r="B6" s="4">
        <v>16</v>
      </c>
      <c r="D6" s="4"/>
      <c r="E6" s="4" t="s">
        <v>305</v>
      </c>
      <c r="F6" s="4" t="s">
        <v>254</v>
      </c>
      <c r="G6" s="4">
        <v>0</v>
      </c>
    </row>
    <row r="7" spans="1:7" x14ac:dyDescent="0.2">
      <c r="A7" s="3" t="s">
        <v>52</v>
      </c>
      <c r="B7" s="4" t="s">
        <v>353</v>
      </c>
      <c r="D7" s="4">
        <v>2</v>
      </c>
      <c r="E7" s="4" t="s">
        <v>280</v>
      </c>
      <c r="F7" s="4" t="s">
        <v>255</v>
      </c>
      <c r="G7" s="4">
        <v>0</v>
      </c>
    </row>
    <row r="8" spans="1:7" x14ac:dyDescent="0.2">
      <c r="A8" s="3" t="s">
        <v>53</v>
      </c>
      <c r="B8" s="20">
        <v>46041</v>
      </c>
      <c r="D8" s="4">
        <v>7</v>
      </c>
      <c r="E8" s="4" t="s">
        <v>296</v>
      </c>
      <c r="F8" s="4" t="s">
        <v>168</v>
      </c>
      <c r="G8" s="4">
        <v>0</v>
      </c>
    </row>
    <row r="9" spans="1:7" x14ac:dyDescent="0.2">
      <c r="A9" s="3" t="s">
        <v>54</v>
      </c>
      <c r="B9" s="4" t="s">
        <v>354</v>
      </c>
      <c r="D9" s="4">
        <v>5</v>
      </c>
      <c r="E9" s="4" t="s">
        <v>282</v>
      </c>
      <c r="F9" s="4" t="s">
        <v>168</v>
      </c>
      <c r="G9" s="4">
        <v>0</v>
      </c>
    </row>
    <row r="10" spans="1:7" x14ac:dyDescent="0.2">
      <c r="A10" s="3" t="s">
        <v>56</v>
      </c>
      <c r="B10" s="4"/>
      <c r="D10" s="4">
        <v>6</v>
      </c>
      <c r="E10" s="4" t="s">
        <v>292</v>
      </c>
      <c r="F10" s="4" t="s">
        <v>256</v>
      </c>
      <c r="G10" s="4">
        <v>0</v>
      </c>
    </row>
    <row r="11" spans="1:7" x14ac:dyDescent="0.2">
      <c r="A11" s="3" t="s">
        <v>57</v>
      </c>
      <c r="B11" s="20">
        <v>37350</v>
      </c>
      <c r="D11" s="4">
        <v>18</v>
      </c>
      <c r="E11" s="4" t="s">
        <v>284</v>
      </c>
      <c r="F11" s="4" t="s">
        <v>256</v>
      </c>
      <c r="G11" s="4">
        <v>0</v>
      </c>
    </row>
    <row r="12" spans="1:7" x14ac:dyDescent="0.2">
      <c r="D12" s="4">
        <v>8</v>
      </c>
      <c r="E12" s="4" t="s">
        <v>293</v>
      </c>
      <c r="F12" s="4" t="s">
        <v>73</v>
      </c>
      <c r="G12" s="4">
        <v>0</v>
      </c>
    </row>
    <row r="13" spans="1:7" x14ac:dyDescent="0.2">
      <c r="D13" s="4">
        <v>9</v>
      </c>
      <c r="E13" s="4" t="s">
        <v>285</v>
      </c>
      <c r="F13" s="4" t="s">
        <v>257</v>
      </c>
      <c r="G13" s="4">
        <v>0</v>
      </c>
    </row>
    <row r="14" spans="1:7" x14ac:dyDescent="0.2">
      <c r="D14" s="4">
        <v>10</v>
      </c>
      <c r="E14" s="4" t="s">
        <v>279</v>
      </c>
      <c r="F14" s="4" t="s">
        <v>257</v>
      </c>
      <c r="G14" s="4">
        <v>0</v>
      </c>
    </row>
    <row r="15" spans="1:7" x14ac:dyDescent="0.2">
      <c r="D15" s="4">
        <v>11</v>
      </c>
      <c r="E15" s="4" t="s">
        <v>287</v>
      </c>
      <c r="F15" s="4" t="s">
        <v>73</v>
      </c>
      <c r="G15" s="4">
        <v>0</v>
      </c>
    </row>
    <row r="16" spans="1:7" x14ac:dyDescent="0.2">
      <c r="D16" s="4">
        <v>17</v>
      </c>
      <c r="E16" s="4" t="s">
        <v>283</v>
      </c>
      <c r="F16" s="4" t="s">
        <v>258</v>
      </c>
      <c r="G16" s="4">
        <v>0</v>
      </c>
    </row>
    <row r="17" spans="1:7" x14ac:dyDescent="0.2">
      <c r="D17" s="4">
        <v>16</v>
      </c>
      <c r="E17" s="4" t="s">
        <v>306</v>
      </c>
      <c r="F17" s="4" t="s">
        <v>257</v>
      </c>
      <c r="G17" s="4">
        <v>0</v>
      </c>
    </row>
    <row r="18" spans="1:7" x14ac:dyDescent="0.2">
      <c r="D18" s="4">
        <v>24</v>
      </c>
      <c r="E18" s="4" t="s">
        <v>286</v>
      </c>
      <c r="F18" s="4" t="s">
        <v>73</v>
      </c>
      <c r="G18" s="4">
        <v>0</v>
      </c>
    </row>
    <row r="19" spans="1:7" x14ac:dyDescent="0.2">
      <c r="D19" s="4">
        <v>15</v>
      </c>
      <c r="E19" s="4" t="s">
        <v>289</v>
      </c>
      <c r="F19" s="4" t="s">
        <v>168</v>
      </c>
      <c r="G19" s="4">
        <v>0</v>
      </c>
    </row>
    <row r="20" spans="1:7" x14ac:dyDescent="0.2">
      <c r="D20" s="4">
        <v>4</v>
      </c>
      <c r="E20" s="4" t="s">
        <v>278</v>
      </c>
      <c r="F20" s="4" t="s">
        <v>259</v>
      </c>
      <c r="G20" s="4">
        <v>0</v>
      </c>
    </row>
    <row r="21" spans="1:7" x14ac:dyDescent="0.2">
      <c r="D21" s="4">
        <v>21</v>
      </c>
      <c r="E21" s="4" t="s">
        <v>290</v>
      </c>
      <c r="F21" s="4" t="s">
        <v>168</v>
      </c>
      <c r="G21" s="4">
        <v>0</v>
      </c>
    </row>
    <row r="22" spans="1:7" x14ac:dyDescent="0.2">
      <c r="D22" s="4">
        <v>19</v>
      </c>
      <c r="E22" s="4" t="s">
        <v>295</v>
      </c>
      <c r="F22" s="4" t="s">
        <v>168</v>
      </c>
      <c r="G22" s="4">
        <v>0</v>
      </c>
    </row>
    <row r="23" spans="1:7" x14ac:dyDescent="0.2">
      <c r="D23" s="4"/>
      <c r="E23" s="4"/>
      <c r="F23" s="4"/>
      <c r="G23" s="4"/>
    </row>
    <row r="24" spans="1:7" x14ac:dyDescent="0.2">
      <c r="D24" s="4"/>
      <c r="E24" s="4" t="s">
        <v>277</v>
      </c>
      <c r="F24" s="4" t="s">
        <v>73</v>
      </c>
      <c r="G24" s="4"/>
    </row>
    <row r="25" spans="1:7" ht="16" customHeight="1" x14ac:dyDescent="0.2">
      <c r="A25" s="2" t="s">
        <v>58</v>
      </c>
    </row>
    <row r="26" spans="1:7" x14ac:dyDescent="0.2">
      <c r="A26" t="s">
        <v>59</v>
      </c>
      <c r="B26" t="s">
        <v>60</v>
      </c>
      <c r="C26" t="s">
        <v>2</v>
      </c>
      <c r="D26" t="s">
        <v>61</v>
      </c>
      <c r="E26" t="s">
        <v>62</v>
      </c>
      <c r="F26" t="s">
        <v>63</v>
      </c>
      <c r="G26" t="s">
        <v>201</v>
      </c>
    </row>
    <row r="27" spans="1:7" x14ac:dyDescent="0.2">
      <c r="A27" s="24" t="s">
        <v>307</v>
      </c>
      <c r="B27" t="s">
        <v>287</v>
      </c>
      <c r="C27" t="s">
        <v>334</v>
      </c>
      <c r="D27" t="s">
        <v>330</v>
      </c>
      <c r="E27" t="s">
        <v>331</v>
      </c>
    </row>
    <row r="28" spans="1:7" x14ac:dyDescent="0.2">
      <c r="A28" s="24" t="s">
        <v>307</v>
      </c>
      <c r="B28" t="s">
        <v>290</v>
      </c>
      <c r="C28" t="s">
        <v>334</v>
      </c>
      <c r="D28" t="s">
        <v>330</v>
      </c>
      <c r="E28" t="s">
        <v>342</v>
      </c>
    </row>
    <row r="29" spans="1:7" x14ac:dyDescent="0.2">
      <c r="A29" s="24" t="s">
        <v>307</v>
      </c>
      <c r="B29" t="s">
        <v>278</v>
      </c>
      <c r="C29" t="s">
        <v>334</v>
      </c>
      <c r="D29" t="s">
        <v>330</v>
      </c>
      <c r="E29" t="s">
        <v>342</v>
      </c>
    </row>
    <row r="30" spans="1:7" x14ac:dyDescent="0.2">
      <c r="A30" s="24" t="s">
        <v>307</v>
      </c>
      <c r="B30" t="s">
        <v>285</v>
      </c>
      <c r="C30" t="s">
        <v>344</v>
      </c>
      <c r="D30" t="s">
        <v>330</v>
      </c>
      <c r="E30" t="s">
        <v>346</v>
      </c>
    </row>
    <row r="31" spans="1:7" x14ac:dyDescent="0.2">
      <c r="A31" s="24" t="s">
        <v>307</v>
      </c>
      <c r="B31" t="s">
        <v>290</v>
      </c>
      <c r="C31" t="s">
        <v>355</v>
      </c>
      <c r="D31" t="s">
        <v>330</v>
      </c>
      <c r="E31" t="s">
        <v>342</v>
      </c>
    </row>
    <row r="32" spans="1:7" x14ac:dyDescent="0.2">
      <c r="A32" s="24" t="s">
        <v>307</v>
      </c>
      <c r="B32" t="s">
        <v>292</v>
      </c>
      <c r="C32" t="s">
        <v>329</v>
      </c>
      <c r="D32" t="s">
        <v>330</v>
      </c>
      <c r="E32" t="s">
        <v>331</v>
      </c>
    </row>
    <row r="33" spans="1:6" x14ac:dyDescent="0.2">
      <c r="A33" s="24" t="s">
        <v>307</v>
      </c>
      <c r="B33" t="s">
        <v>292</v>
      </c>
      <c r="C33" t="s">
        <v>337</v>
      </c>
      <c r="D33" t="s">
        <v>330</v>
      </c>
      <c r="E33" t="s">
        <v>331</v>
      </c>
    </row>
    <row r="34" spans="1:6" x14ac:dyDescent="0.2">
      <c r="A34" s="24" t="s">
        <v>307</v>
      </c>
      <c r="B34" t="s">
        <v>283</v>
      </c>
      <c r="C34" t="s">
        <v>355</v>
      </c>
      <c r="D34" t="s">
        <v>330</v>
      </c>
      <c r="E34" t="s">
        <v>335</v>
      </c>
    </row>
    <row r="35" spans="1:6" x14ac:dyDescent="0.2">
      <c r="A35" s="24" t="s">
        <v>307</v>
      </c>
      <c r="B35" t="s">
        <v>283</v>
      </c>
      <c r="C35" t="s">
        <v>355</v>
      </c>
      <c r="D35" t="s">
        <v>330</v>
      </c>
      <c r="E35" t="s">
        <v>340</v>
      </c>
    </row>
    <row r="36" spans="1:6" x14ac:dyDescent="0.2">
      <c r="A36" s="24" t="s">
        <v>307</v>
      </c>
      <c r="B36" t="s">
        <v>296</v>
      </c>
      <c r="C36" t="s">
        <v>334</v>
      </c>
      <c r="D36" t="s">
        <v>330</v>
      </c>
      <c r="E36" t="s">
        <v>340</v>
      </c>
    </row>
    <row r="37" spans="1:6" x14ac:dyDescent="0.2">
      <c r="A37" s="24" t="s">
        <v>307</v>
      </c>
      <c r="B37" t="s">
        <v>296</v>
      </c>
      <c r="C37" t="s">
        <v>329</v>
      </c>
      <c r="D37" t="s">
        <v>330</v>
      </c>
      <c r="E37" t="s">
        <v>340</v>
      </c>
    </row>
    <row r="38" spans="1:6" x14ac:dyDescent="0.2">
      <c r="A38" s="24" t="s">
        <v>307</v>
      </c>
      <c r="B38" t="s">
        <v>295</v>
      </c>
      <c r="C38" t="s">
        <v>339</v>
      </c>
      <c r="D38" t="s">
        <v>330</v>
      </c>
      <c r="E38" t="s">
        <v>333</v>
      </c>
      <c r="F38" t="s">
        <v>356</v>
      </c>
    </row>
    <row r="39" spans="1:6" x14ac:dyDescent="0.2">
      <c r="A39" s="24" t="s">
        <v>307</v>
      </c>
      <c r="B39" t="s">
        <v>278</v>
      </c>
      <c r="C39" t="s">
        <v>329</v>
      </c>
      <c r="D39" t="s">
        <v>330</v>
      </c>
      <c r="E39" t="s">
        <v>342</v>
      </c>
    </row>
    <row r="40" spans="1:6" x14ac:dyDescent="0.2">
      <c r="A40" s="24" t="s">
        <v>307</v>
      </c>
      <c r="B40" t="s">
        <v>293</v>
      </c>
      <c r="C40" t="s">
        <v>337</v>
      </c>
      <c r="D40" t="s">
        <v>332</v>
      </c>
      <c r="E40" t="s">
        <v>331</v>
      </c>
    </row>
    <row r="41" spans="1:6" x14ac:dyDescent="0.2">
      <c r="A41" s="24" t="s">
        <v>307</v>
      </c>
      <c r="B41" t="s">
        <v>295</v>
      </c>
      <c r="C41" t="s">
        <v>355</v>
      </c>
      <c r="D41" t="s">
        <v>330</v>
      </c>
      <c r="E41" t="s">
        <v>338</v>
      </c>
    </row>
    <row r="42" spans="1:6" x14ac:dyDescent="0.2">
      <c r="A42" s="24" t="s">
        <v>307</v>
      </c>
      <c r="B42" t="s">
        <v>282</v>
      </c>
      <c r="C42" t="s">
        <v>345</v>
      </c>
      <c r="E42" t="s">
        <v>331</v>
      </c>
    </row>
    <row r="43" spans="1:6" x14ac:dyDescent="0.2">
      <c r="A43" s="24" t="s">
        <v>307</v>
      </c>
      <c r="B43" t="s">
        <v>282</v>
      </c>
      <c r="C43" t="s">
        <v>334</v>
      </c>
      <c r="D43" t="s">
        <v>330</v>
      </c>
      <c r="E43" t="s">
        <v>342</v>
      </c>
    </row>
    <row r="44" spans="1:6" x14ac:dyDescent="0.2">
      <c r="A44" s="24" t="s">
        <v>307</v>
      </c>
      <c r="B44" t="s">
        <v>285</v>
      </c>
      <c r="C44" t="s">
        <v>329</v>
      </c>
      <c r="D44" t="s">
        <v>332</v>
      </c>
      <c r="E44" t="s">
        <v>340</v>
      </c>
      <c r="F44" t="s">
        <v>357</v>
      </c>
    </row>
    <row r="45" spans="1:6" x14ac:dyDescent="0.2">
      <c r="A45" s="24" t="s">
        <v>307</v>
      </c>
      <c r="B45" t="s">
        <v>293</v>
      </c>
      <c r="C45" t="s">
        <v>339</v>
      </c>
      <c r="D45" t="s">
        <v>332</v>
      </c>
      <c r="E45" t="s">
        <v>336</v>
      </c>
    </row>
    <row r="46" spans="1:6" x14ac:dyDescent="0.2">
      <c r="A46" s="24" t="s">
        <v>307</v>
      </c>
      <c r="B46" t="s">
        <v>292</v>
      </c>
      <c r="C46" t="s">
        <v>329</v>
      </c>
      <c r="D46" t="s">
        <v>330</v>
      </c>
      <c r="E46" t="s">
        <v>331</v>
      </c>
    </row>
    <row r="47" spans="1:6" x14ac:dyDescent="0.2">
      <c r="A47" s="24" t="s">
        <v>307</v>
      </c>
      <c r="B47" t="s">
        <v>293</v>
      </c>
      <c r="C47" t="s">
        <v>337</v>
      </c>
      <c r="D47" t="s">
        <v>332</v>
      </c>
      <c r="E47" t="s">
        <v>331</v>
      </c>
    </row>
    <row r="48" spans="1:6" x14ac:dyDescent="0.2">
      <c r="A48" s="24" t="s">
        <v>307</v>
      </c>
      <c r="B48" t="s">
        <v>293</v>
      </c>
      <c r="C48" t="s">
        <v>355</v>
      </c>
      <c r="D48" t="s">
        <v>330</v>
      </c>
      <c r="E48" t="s">
        <v>331</v>
      </c>
    </row>
    <row r="49" spans="1:6" x14ac:dyDescent="0.2">
      <c r="A49" s="24" t="s">
        <v>307</v>
      </c>
      <c r="B49" t="s">
        <v>283</v>
      </c>
      <c r="C49" t="s">
        <v>355</v>
      </c>
      <c r="D49" t="s">
        <v>330</v>
      </c>
      <c r="E49" t="s">
        <v>335</v>
      </c>
    </row>
    <row r="50" spans="1:6" x14ac:dyDescent="0.2">
      <c r="A50" s="24" t="s">
        <v>307</v>
      </c>
      <c r="B50" t="s">
        <v>295</v>
      </c>
      <c r="C50" t="s">
        <v>355</v>
      </c>
      <c r="D50" t="s">
        <v>332</v>
      </c>
      <c r="E50" t="s">
        <v>335</v>
      </c>
    </row>
    <row r="51" spans="1:6" x14ac:dyDescent="0.2">
      <c r="A51" s="24" t="s">
        <v>307</v>
      </c>
      <c r="B51" t="s">
        <v>283</v>
      </c>
      <c r="C51" t="s">
        <v>329</v>
      </c>
      <c r="D51" t="s">
        <v>332</v>
      </c>
      <c r="E51" t="s">
        <v>335</v>
      </c>
      <c r="F51" t="s">
        <v>357</v>
      </c>
    </row>
    <row r="52" spans="1:6" x14ac:dyDescent="0.2">
      <c r="A52" s="24" t="s">
        <v>307</v>
      </c>
      <c r="B52" t="s">
        <v>296</v>
      </c>
      <c r="C52" t="s">
        <v>334</v>
      </c>
      <c r="D52" t="s">
        <v>330</v>
      </c>
      <c r="E52" t="s">
        <v>342</v>
      </c>
    </row>
    <row r="53" spans="1:6" x14ac:dyDescent="0.2">
      <c r="A53" s="24" t="s">
        <v>307</v>
      </c>
      <c r="B53" t="s">
        <v>278</v>
      </c>
      <c r="C53" t="s">
        <v>334</v>
      </c>
      <c r="D53" t="s">
        <v>330</v>
      </c>
      <c r="E53" t="s">
        <v>342</v>
      </c>
    </row>
    <row r="54" spans="1:6" x14ac:dyDescent="0.2">
      <c r="A54" s="24" t="s">
        <v>307</v>
      </c>
      <c r="B54" t="s">
        <v>290</v>
      </c>
      <c r="C54" t="s">
        <v>334</v>
      </c>
      <c r="D54" t="s">
        <v>330</v>
      </c>
      <c r="E54" t="s">
        <v>342</v>
      </c>
    </row>
    <row r="55" spans="1:6" x14ac:dyDescent="0.2">
      <c r="A55" s="24" t="s">
        <v>307</v>
      </c>
      <c r="B55" t="s">
        <v>292</v>
      </c>
      <c r="C55" t="s">
        <v>341</v>
      </c>
      <c r="D55" t="s">
        <v>332</v>
      </c>
      <c r="E55" t="s">
        <v>331</v>
      </c>
    </row>
    <row r="56" spans="1:6" x14ac:dyDescent="0.2">
      <c r="A56" s="24" t="s">
        <v>307</v>
      </c>
      <c r="B56" t="s">
        <v>283</v>
      </c>
      <c r="C56" t="s">
        <v>341</v>
      </c>
      <c r="D56" t="s">
        <v>330</v>
      </c>
      <c r="E56" t="s">
        <v>335</v>
      </c>
    </row>
    <row r="57" spans="1:6" x14ac:dyDescent="0.2">
      <c r="A57" s="24" t="s">
        <v>307</v>
      </c>
      <c r="B57" t="s">
        <v>285</v>
      </c>
      <c r="C57" t="s">
        <v>329</v>
      </c>
      <c r="D57" t="s">
        <v>332</v>
      </c>
      <c r="E57" t="s">
        <v>340</v>
      </c>
    </row>
    <row r="58" spans="1:6" x14ac:dyDescent="0.2">
      <c r="A58" s="24" t="s">
        <v>307</v>
      </c>
      <c r="B58" t="s">
        <v>292</v>
      </c>
      <c r="C58" t="s">
        <v>337</v>
      </c>
      <c r="D58" t="s">
        <v>332</v>
      </c>
      <c r="E58" t="s">
        <v>336</v>
      </c>
    </row>
    <row r="59" spans="1:6" x14ac:dyDescent="0.2">
      <c r="A59" s="24" t="s">
        <v>307</v>
      </c>
      <c r="B59" t="s">
        <v>278</v>
      </c>
      <c r="C59" t="s">
        <v>334</v>
      </c>
      <c r="D59" t="s">
        <v>330</v>
      </c>
      <c r="E59" t="s">
        <v>342</v>
      </c>
    </row>
    <row r="60" spans="1:6" x14ac:dyDescent="0.2">
      <c r="A60" s="24" t="s">
        <v>307</v>
      </c>
      <c r="B60" t="s">
        <v>283</v>
      </c>
      <c r="C60" t="s">
        <v>334</v>
      </c>
      <c r="D60" t="s">
        <v>330</v>
      </c>
      <c r="E60" t="s">
        <v>335</v>
      </c>
    </row>
    <row r="61" spans="1:6" x14ac:dyDescent="0.2">
      <c r="A61" s="24" t="s">
        <v>307</v>
      </c>
      <c r="B61" t="s">
        <v>287</v>
      </c>
      <c r="C61" t="s">
        <v>339</v>
      </c>
      <c r="D61" t="s">
        <v>332</v>
      </c>
      <c r="E61" t="s">
        <v>336</v>
      </c>
    </row>
    <row r="62" spans="1:6" x14ac:dyDescent="0.2">
      <c r="A62" s="24" t="s">
        <v>307</v>
      </c>
      <c r="B62" t="s">
        <v>296</v>
      </c>
      <c r="C62" t="s">
        <v>334</v>
      </c>
      <c r="D62" t="s">
        <v>330</v>
      </c>
      <c r="E62" t="s">
        <v>342</v>
      </c>
    </row>
    <row r="63" spans="1:6" x14ac:dyDescent="0.2">
      <c r="A63" s="24" t="s">
        <v>307</v>
      </c>
      <c r="B63" t="s">
        <v>282</v>
      </c>
      <c r="C63" t="s">
        <v>334</v>
      </c>
      <c r="D63" t="s">
        <v>330</v>
      </c>
      <c r="E63" t="s">
        <v>342</v>
      </c>
    </row>
    <row r="64" spans="1:6" x14ac:dyDescent="0.2">
      <c r="A64" s="24" t="s">
        <v>307</v>
      </c>
      <c r="B64" t="s">
        <v>278</v>
      </c>
      <c r="C64" t="s">
        <v>334</v>
      </c>
      <c r="D64" t="s">
        <v>330</v>
      </c>
      <c r="E64" t="s">
        <v>342</v>
      </c>
    </row>
    <row r="65" spans="1:5" x14ac:dyDescent="0.2">
      <c r="A65" s="24" t="s">
        <v>307</v>
      </c>
      <c r="B65" t="s">
        <v>287</v>
      </c>
      <c r="C65" t="s">
        <v>348</v>
      </c>
      <c r="D65" t="s">
        <v>80</v>
      </c>
      <c r="E65" t="s">
        <v>333</v>
      </c>
    </row>
    <row r="66" spans="1:5" x14ac:dyDescent="0.2">
      <c r="A66" s="24" t="s">
        <v>309</v>
      </c>
      <c r="B66" t="s">
        <v>296</v>
      </c>
      <c r="C66" t="s">
        <v>348</v>
      </c>
      <c r="D66" t="s">
        <v>80</v>
      </c>
      <c r="E66" t="s">
        <v>333</v>
      </c>
    </row>
    <row r="67" spans="1:5" x14ac:dyDescent="0.2">
      <c r="A67" s="24" t="s">
        <v>309</v>
      </c>
      <c r="B67" t="s">
        <v>296</v>
      </c>
      <c r="C67" t="s">
        <v>329</v>
      </c>
      <c r="D67" t="s">
        <v>330</v>
      </c>
      <c r="E67" t="s">
        <v>333</v>
      </c>
    </row>
    <row r="68" spans="1:5" x14ac:dyDescent="0.2">
      <c r="A68" s="24" t="s">
        <v>309</v>
      </c>
      <c r="B68" t="s">
        <v>295</v>
      </c>
      <c r="C68" t="s">
        <v>355</v>
      </c>
      <c r="D68" t="s">
        <v>330</v>
      </c>
      <c r="E68" t="s">
        <v>338</v>
      </c>
    </row>
    <row r="69" spans="1:5" x14ac:dyDescent="0.2">
      <c r="A69" s="24" t="s">
        <v>309</v>
      </c>
      <c r="B69" t="s">
        <v>296</v>
      </c>
      <c r="C69" t="s">
        <v>341</v>
      </c>
      <c r="D69" t="s">
        <v>330</v>
      </c>
      <c r="E69" t="s">
        <v>333</v>
      </c>
    </row>
    <row r="70" spans="1:5" x14ac:dyDescent="0.2">
      <c r="A70" s="24" t="s">
        <v>309</v>
      </c>
      <c r="B70" t="s">
        <v>296</v>
      </c>
      <c r="C70" t="s">
        <v>347</v>
      </c>
      <c r="D70" t="s">
        <v>330</v>
      </c>
      <c r="E70" t="s">
        <v>333</v>
      </c>
    </row>
    <row r="71" spans="1:5" x14ac:dyDescent="0.2">
      <c r="A71" s="24" t="s">
        <v>309</v>
      </c>
      <c r="B71" t="s">
        <v>296</v>
      </c>
      <c r="C71" t="s">
        <v>347</v>
      </c>
      <c r="D71" t="s">
        <v>330</v>
      </c>
      <c r="E71" t="s">
        <v>333</v>
      </c>
    </row>
    <row r="72" spans="1:5" x14ac:dyDescent="0.2">
      <c r="A72" s="24" t="s">
        <v>309</v>
      </c>
      <c r="B72" t="s">
        <v>278</v>
      </c>
      <c r="C72" t="s">
        <v>355</v>
      </c>
      <c r="D72" t="s">
        <v>330</v>
      </c>
      <c r="E72" t="s">
        <v>342</v>
      </c>
    </row>
    <row r="73" spans="1:5" x14ac:dyDescent="0.2">
      <c r="A73" s="24" t="s">
        <v>309</v>
      </c>
      <c r="B73" t="s">
        <v>292</v>
      </c>
      <c r="C73" t="s">
        <v>337</v>
      </c>
      <c r="D73" t="s">
        <v>332</v>
      </c>
      <c r="E73" t="s">
        <v>333</v>
      </c>
    </row>
    <row r="74" spans="1:5" x14ac:dyDescent="0.2">
      <c r="A74" s="24" t="s">
        <v>309</v>
      </c>
      <c r="B74" t="s">
        <v>282</v>
      </c>
      <c r="C74" t="s">
        <v>355</v>
      </c>
      <c r="D74" t="s">
        <v>330</v>
      </c>
      <c r="E74" t="s">
        <v>338</v>
      </c>
    </row>
    <row r="75" spans="1:5" x14ac:dyDescent="0.2">
      <c r="A75" s="24" t="s">
        <v>309</v>
      </c>
      <c r="B75" t="s">
        <v>285</v>
      </c>
      <c r="C75" t="s">
        <v>339</v>
      </c>
      <c r="D75" t="s">
        <v>330</v>
      </c>
      <c r="E75" t="s">
        <v>343</v>
      </c>
    </row>
    <row r="76" spans="1:5" x14ac:dyDescent="0.2">
      <c r="A76" s="24" t="s">
        <v>309</v>
      </c>
      <c r="B76" t="s">
        <v>282</v>
      </c>
      <c r="C76" t="s">
        <v>334</v>
      </c>
      <c r="D76" t="s">
        <v>330</v>
      </c>
      <c r="E76" t="s">
        <v>342</v>
      </c>
    </row>
    <row r="77" spans="1:5" x14ac:dyDescent="0.2">
      <c r="A77" s="24" t="s">
        <v>309</v>
      </c>
      <c r="B77" t="s">
        <v>293</v>
      </c>
      <c r="C77" t="s">
        <v>339</v>
      </c>
      <c r="D77" t="s">
        <v>330</v>
      </c>
      <c r="E77" t="s">
        <v>331</v>
      </c>
    </row>
    <row r="78" spans="1:5" x14ac:dyDescent="0.2">
      <c r="A78" s="24" t="s">
        <v>309</v>
      </c>
      <c r="B78" t="s">
        <v>282</v>
      </c>
      <c r="C78" t="s">
        <v>344</v>
      </c>
      <c r="D78" t="s">
        <v>330</v>
      </c>
      <c r="E78" t="s">
        <v>331</v>
      </c>
    </row>
    <row r="79" spans="1:5" x14ac:dyDescent="0.2">
      <c r="A79" s="24" t="s">
        <v>309</v>
      </c>
      <c r="B79" t="s">
        <v>282</v>
      </c>
      <c r="C79" t="s">
        <v>334</v>
      </c>
      <c r="D79" t="s">
        <v>330</v>
      </c>
      <c r="E79" t="s">
        <v>331</v>
      </c>
    </row>
    <row r="80" spans="1:5" x14ac:dyDescent="0.2">
      <c r="A80" s="24" t="s">
        <v>309</v>
      </c>
      <c r="B80" t="s">
        <v>282</v>
      </c>
      <c r="C80" t="s">
        <v>355</v>
      </c>
      <c r="D80" t="s">
        <v>330</v>
      </c>
      <c r="E80" t="s">
        <v>331</v>
      </c>
    </row>
    <row r="81" spans="1:5" x14ac:dyDescent="0.2">
      <c r="A81" s="24" t="s">
        <v>309</v>
      </c>
      <c r="B81" t="s">
        <v>293</v>
      </c>
      <c r="C81" t="s">
        <v>329</v>
      </c>
      <c r="D81" t="s">
        <v>330</v>
      </c>
      <c r="E81" t="s">
        <v>331</v>
      </c>
    </row>
    <row r="82" spans="1:5" x14ac:dyDescent="0.2">
      <c r="A82" s="24" t="s">
        <v>309</v>
      </c>
      <c r="B82" t="s">
        <v>292</v>
      </c>
      <c r="C82" t="s">
        <v>329</v>
      </c>
      <c r="D82" t="s">
        <v>330</v>
      </c>
      <c r="E82" t="s">
        <v>331</v>
      </c>
    </row>
    <row r="83" spans="1:5" x14ac:dyDescent="0.2">
      <c r="A83" s="24" t="s">
        <v>309</v>
      </c>
      <c r="B83" t="s">
        <v>292</v>
      </c>
      <c r="C83" t="s">
        <v>341</v>
      </c>
      <c r="D83" t="s">
        <v>330</v>
      </c>
      <c r="E83" t="s">
        <v>331</v>
      </c>
    </row>
    <row r="84" spans="1:5" x14ac:dyDescent="0.2">
      <c r="A84" s="24" t="s">
        <v>309</v>
      </c>
      <c r="B84" t="s">
        <v>285</v>
      </c>
      <c r="C84" t="s">
        <v>329</v>
      </c>
      <c r="D84" t="s">
        <v>332</v>
      </c>
      <c r="E84" t="s">
        <v>333</v>
      </c>
    </row>
    <row r="85" spans="1:5" x14ac:dyDescent="0.2">
      <c r="A85" s="24" t="s">
        <v>309</v>
      </c>
      <c r="B85" t="s">
        <v>282</v>
      </c>
      <c r="C85" t="s">
        <v>329</v>
      </c>
      <c r="D85" t="s">
        <v>330</v>
      </c>
      <c r="E85" t="s">
        <v>342</v>
      </c>
    </row>
    <row r="86" spans="1:5" x14ac:dyDescent="0.2">
      <c r="A86" s="24" t="s">
        <v>309</v>
      </c>
      <c r="B86" t="s">
        <v>290</v>
      </c>
      <c r="C86" t="s">
        <v>345</v>
      </c>
      <c r="D86" t="s">
        <v>330</v>
      </c>
      <c r="E86" t="s">
        <v>342</v>
      </c>
    </row>
    <row r="87" spans="1:5" x14ac:dyDescent="0.2">
      <c r="A87" s="24" t="s">
        <v>309</v>
      </c>
      <c r="B87" t="s">
        <v>290</v>
      </c>
      <c r="C87" t="s">
        <v>334</v>
      </c>
      <c r="D87" t="s">
        <v>330</v>
      </c>
      <c r="E87" t="s">
        <v>342</v>
      </c>
    </row>
    <row r="88" spans="1:5" x14ac:dyDescent="0.2">
      <c r="A88" s="24" t="s">
        <v>309</v>
      </c>
      <c r="B88" t="s">
        <v>292</v>
      </c>
      <c r="C88" t="s">
        <v>339</v>
      </c>
      <c r="D88" t="s">
        <v>330</v>
      </c>
      <c r="E88" t="s">
        <v>333</v>
      </c>
    </row>
    <row r="89" spans="1:5" x14ac:dyDescent="0.2">
      <c r="A89" s="24" t="s">
        <v>309</v>
      </c>
      <c r="B89" t="s">
        <v>278</v>
      </c>
      <c r="C89" t="s">
        <v>355</v>
      </c>
      <c r="D89" t="s">
        <v>330</v>
      </c>
      <c r="E89" t="s">
        <v>342</v>
      </c>
    </row>
    <row r="90" spans="1:5" x14ac:dyDescent="0.2">
      <c r="A90" s="24" t="s">
        <v>309</v>
      </c>
      <c r="B90" t="s">
        <v>278</v>
      </c>
      <c r="C90" t="s">
        <v>341</v>
      </c>
      <c r="D90" t="s">
        <v>330</v>
      </c>
      <c r="E90" t="s">
        <v>335</v>
      </c>
    </row>
    <row r="91" spans="1:5" x14ac:dyDescent="0.2">
      <c r="A91" s="24" t="s">
        <v>309</v>
      </c>
      <c r="B91" t="s">
        <v>282</v>
      </c>
      <c r="C91" t="s">
        <v>334</v>
      </c>
      <c r="D91" t="s">
        <v>330</v>
      </c>
      <c r="E91" t="s">
        <v>335</v>
      </c>
    </row>
    <row r="92" spans="1:5" x14ac:dyDescent="0.2">
      <c r="A92" s="24" t="s">
        <v>309</v>
      </c>
      <c r="B92" t="s">
        <v>283</v>
      </c>
      <c r="C92" t="s">
        <v>334</v>
      </c>
      <c r="D92" t="s">
        <v>330</v>
      </c>
      <c r="E92" t="s">
        <v>335</v>
      </c>
    </row>
    <row r="93" spans="1:5" x14ac:dyDescent="0.2">
      <c r="A93" s="24" t="s">
        <v>309</v>
      </c>
      <c r="B93" t="s">
        <v>287</v>
      </c>
      <c r="C93" t="s">
        <v>329</v>
      </c>
      <c r="D93" t="s">
        <v>332</v>
      </c>
      <c r="E93" t="s">
        <v>346</v>
      </c>
    </row>
    <row r="94" spans="1:5" x14ac:dyDescent="0.2">
      <c r="A94" s="24" t="s">
        <v>309</v>
      </c>
      <c r="B94" t="s">
        <v>296</v>
      </c>
      <c r="C94" t="s">
        <v>355</v>
      </c>
      <c r="D94" t="s">
        <v>330</v>
      </c>
      <c r="E94" t="s">
        <v>340</v>
      </c>
    </row>
    <row r="95" spans="1:5" x14ac:dyDescent="0.2">
      <c r="A95" s="24" t="s">
        <v>309</v>
      </c>
      <c r="B95" t="s">
        <v>296</v>
      </c>
      <c r="C95" t="s">
        <v>329</v>
      </c>
      <c r="D95" t="s">
        <v>330</v>
      </c>
      <c r="E95" t="s">
        <v>340</v>
      </c>
    </row>
    <row r="96" spans="1:5" x14ac:dyDescent="0.2">
      <c r="A96" s="24" t="s">
        <v>309</v>
      </c>
      <c r="B96" t="s">
        <v>287</v>
      </c>
      <c r="C96" t="s">
        <v>329</v>
      </c>
      <c r="D96" t="s">
        <v>332</v>
      </c>
      <c r="E96" t="s">
        <v>340</v>
      </c>
    </row>
    <row r="97" spans="1:6" x14ac:dyDescent="0.2">
      <c r="A97" s="24" t="s">
        <v>309</v>
      </c>
      <c r="B97" t="s">
        <v>292</v>
      </c>
      <c r="C97" t="s">
        <v>329</v>
      </c>
      <c r="D97" t="s">
        <v>330</v>
      </c>
      <c r="E97" t="s">
        <v>333</v>
      </c>
    </row>
    <row r="98" spans="1:6" x14ac:dyDescent="0.2">
      <c r="A98" s="24" t="s">
        <v>309</v>
      </c>
      <c r="B98" t="s">
        <v>293</v>
      </c>
      <c r="C98" t="s">
        <v>261</v>
      </c>
      <c r="D98" t="s">
        <v>332</v>
      </c>
      <c r="E98" t="s">
        <v>340</v>
      </c>
    </row>
    <row r="99" spans="1:6" x14ac:dyDescent="0.2">
      <c r="A99" s="24" t="s">
        <v>309</v>
      </c>
      <c r="B99" t="s">
        <v>295</v>
      </c>
      <c r="C99" t="s">
        <v>329</v>
      </c>
      <c r="D99" t="s">
        <v>330</v>
      </c>
      <c r="E99" t="s">
        <v>342</v>
      </c>
    </row>
    <row r="100" spans="1:6" x14ac:dyDescent="0.2">
      <c r="A100" s="24" t="s">
        <v>309</v>
      </c>
      <c r="B100" t="s">
        <v>296</v>
      </c>
      <c r="C100" t="s">
        <v>329</v>
      </c>
      <c r="D100" t="s">
        <v>330</v>
      </c>
      <c r="E100" t="s">
        <v>331</v>
      </c>
    </row>
    <row r="101" spans="1:6" x14ac:dyDescent="0.2">
      <c r="A101" s="24" t="s">
        <v>309</v>
      </c>
      <c r="B101" t="s">
        <v>285</v>
      </c>
      <c r="C101" t="s">
        <v>329</v>
      </c>
      <c r="D101" t="s">
        <v>332</v>
      </c>
      <c r="E101" t="s">
        <v>340</v>
      </c>
    </row>
    <row r="102" spans="1:6" x14ac:dyDescent="0.2">
      <c r="A102" s="24" t="s">
        <v>309</v>
      </c>
      <c r="B102" t="s">
        <v>292</v>
      </c>
      <c r="C102" t="s">
        <v>329</v>
      </c>
      <c r="D102" t="s">
        <v>332</v>
      </c>
      <c r="E102" t="s">
        <v>331</v>
      </c>
    </row>
    <row r="103" spans="1:6" x14ac:dyDescent="0.2">
      <c r="A103" s="24" t="s">
        <v>309</v>
      </c>
      <c r="B103" t="s">
        <v>296</v>
      </c>
      <c r="C103" t="s">
        <v>329</v>
      </c>
      <c r="D103" t="s">
        <v>330</v>
      </c>
      <c r="E103" t="s">
        <v>331</v>
      </c>
    </row>
    <row r="104" spans="1:6" x14ac:dyDescent="0.2">
      <c r="A104" s="24" t="s">
        <v>309</v>
      </c>
      <c r="B104" t="s">
        <v>296</v>
      </c>
      <c r="C104" t="s">
        <v>341</v>
      </c>
      <c r="D104" t="s">
        <v>330</v>
      </c>
      <c r="E104" t="s">
        <v>331</v>
      </c>
    </row>
    <row r="105" spans="1:6" x14ac:dyDescent="0.2">
      <c r="A105" s="24" t="s">
        <v>309</v>
      </c>
      <c r="B105" t="s">
        <v>278</v>
      </c>
      <c r="C105" t="s">
        <v>355</v>
      </c>
      <c r="D105" t="s">
        <v>330</v>
      </c>
      <c r="E105" t="s">
        <v>342</v>
      </c>
    </row>
    <row r="106" spans="1:6" x14ac:dyDescent="0.2">
      <c r="A106" s="24" t="s">
        <v>309</v>
      </c>
      <c r="B106" t="s">
        <v>285</v>
      </c>
      <c r="C106" t="s">
        <v>329</v>
      </c>
      <c r="D106" t="s">
        <v>332</v>
      </c>
      <c r="E106" t="s">
        <v>340</v>
      </c>
      <c r="F106" t="s">
        <v>357</v>
      </c>
    </row>
    <row r="107" spans="1:6" x14ac:dyDescent="0.2">
      <c r="A107" s="24" t="s">
        <v>309</v>
      </c>
      <c r="B107" t="s">
        <v>287</v>
      </c>
      <c r="C107" t="s">
        <v>329</v>
      </c>
      <c r="D107" t="s">
        <v>332</v>
      </c>
      <c r="E107" t="s">
        <v>340</v>
      </c>
    </row>
    <row r="108" spans="1:6" x14ac:dyDescent="0.2">
      <c r="A108" s="24" t="s">
        <v>312</v>
      </c>
      <c r="B108" t="s">
        <v>287</v>
      </c>
      <c r="C108" t="s">
        <v>339</v>
      </c>
      <c r="E108" t="s">
        <v>333</v>
      </c>
    </row>
    <row r="109" spans="1:6" x14ac:dyDescent="0.2">
      <c r="A109" s="24" t="s">
        <v>312</v>
      </c>
      <c r="B109" t="s">
        <v>296</v>
      </c>
      <c r="C109" t="s">
        <v>329</v>
      </c>
      <c r="D109" t="s">
        <v>330</v>
      </c>
      <c r="E109" t="s">
        <v>331</v>
      </c>
    </row>
    <row r="110" spans="1:6" x14ac:dyDescent="0.2">
      <c r="A110" s="24" t="s">
        <v>312</v>
      </c>
      <c r="B110" t="s">
        <v>295</v>
      </c>
      <c r="C110" t="s">
        <v>329</v>
      </c>
      <c r="D110" t="s">
        <v>330</v>
      </c>
      <c r="E110" t="s">
        <v>338</v>
      </c>
    </row>
    <row r="111" spans="1:6" x14ac:dyDescent="0.2">
      <c r="A111" s="24" t="s">
        <v>312</v>
      </c>
      <c r="B111" t="s">
        <v>285</v>
      </c>
      <c r="C111" t="s">
        <v>329</v>
      </c>
      <c r="D111" t="s">
        <v>332</v>
      </c>
      <c r="E111" t="s">
        <v>333</v>
      </c>
    </row>
    <row r="112" spans="1:6" x14ac:dyDescent="0.2">
      <c r="A112" s="24" t="s">
        <v>312</v>
      </c>
      <c r="B112" t="s">
        <v>295</v>
      </c>
      <c r="C112" t="s">
        <v>334</v>
      </c>
      <c r="D112" t="s">
        <v>330</v>
      </c>
      <c r="E112" t="s">
        <v>338</v>
      </c>
    </row>
    <row r="113" spans="1:5" x14ac:dyDescent="0.2">
      <c r="A113" s="24" t="s">
        <v>312</v>
      </c>
      <c r="B113" t="s">
        <v>282</v>
      </c>
      <c r="C113" t="s">
        <v>341</v>
      </c>
      <c r="D113" t="s">
        <v>330</v>
      </c>
      <c r="E113" t="s">
        <v>342</v>
      </c>
    </row>
    <row r="114" spans="1:5" x14ac:dyDescent="0.2">
      <c r="A114" s="24" t="s">
        <v>312</v>
      </c>
      <c r="B114" t="s">
        <v>282</v>
      </c>
      <c r="C114" t="s">
        <v>334</v>
      </c>
      <c r="D114" t="s">
        <v>330</v>
      </c>
      <c r="E114" t="s">
        <v>338</v>
      </c>
    </row>
    <row r="115" spans="1:5" x14ac:dyDescent="0.2">
      <c r="A115" s="24" t="s">
        <v>312</v>
      </c>
      <c r="B115" t="s">
        <v>287</v>
      </c>
      <c r="C115" t="s">
        <v>339</v>
      </c>
      <c r="D115" t="s">
        <v>330</v>
      </c>
      <c r="E115" t="s">
        <v>346</v>
      </c>
    </row>
    <row r="116" spans="1:5" x14ac:dyDescent="0.2">
      <c r="A116" s="24" t="s">
        <v>312</v>
      </c>
      <c r="B116" t="s">
        <v>283</v>
      </c>
      <c r="C116" t="s">
        <v>341</v>
      </c>
      <c r="D116" t="s">
        <v>330</v>
      </c>
      <c r="E116" t="s">
        <v>335</v>
      </c>
    </row>
    <row r="117" spans="1:5" x14ac:dyDescent="0.2">
      <c r="A117" s="24" t="s">
        <v>312</v>
      </c>
      <c r="B117" t="s">
        <v>283</v>
      </c>
      <c r="C117" t="s">
        <v>341</v>
      </c>
      <c r="D117" t="s">
        <v>330</v>
      </c>
      <c r="E117" t="s">
        <v>335</v>
      </c>
    </row>
    <row r="118" spans="1:5" x14ac:dyDescent="0.2">
      <c r="A118" s="24" t="s">
        <v>312</v>
      </c>
      <c r="B118" t="s">
        <v>278</v>
      </c>
      <c r="C118" t="s">
        <v>329</v>
      </c>
      <c r="D118" t="s">
        <v>330</v>
      </c>
      <c r="E118" t="s">
        <v>342</v>
      </c>
    </row>
    <row r="119" spans="1:5" x14ac:dyDescent="0.2">
      <c r="A119" s="24" t="s">
        <v>312</v>
      </c>
      <c r="B119" t="s">
        <v>292</v>
      </c>
      <c r="C119" t="s">
        <v>329</v>
      </c>
      <c r="D119" t="s">
        <v>332</v>
      </c>
      <c r="E119" t="s">
        <v>331</v>
      </c>
    </row>
    <row r="120" spans="1:5" x14ac:dyDescent="0.2">
      <c r="A120" s="24" t="s">
        <v>312</v>
      </c>
      <c r="B120" t="s">
        <v>296</v>
      </c>
      <c r="C120" t="s">
        <v>344</v>
      </c>
      <c r="D120" t="s">
        <v>330</v>
      </c>
      <c r="E120" t="s">
        <v>343</v>
      </c>
    </row>
    <row r="121" spans="1:5" x14ac:dyDescent="0.2">
      <c r="A121" s="24" t="s">
        <v>312</v>
      </c>
      <c r="B121" t="s">
        <v>295</v>
      </c>
      <c r="C121" t="s">
        <v>334</v>
      </c>
      <c r="D121" t="s">
        <v>330</v>
      </c>
      <c r="E121" t="s">
        <v>338</v>
      </c>
    </row>
    <row r="122" spans="1:5" x14ac:dyDescent="0.2">
      <c r="A122" s="24" t="s">
        <v>312</v>
      </c>
      <c r="B122" t="s">
        <v>282</v>
      </c>
      <c r="C122" t="s">
        <v>334</v>
      </c>
      <c r="D122" t="s">
        <v>330</v>
      </c>
      <c r="E122" t="s">
        <v>338</v>
      </c>
    </row>
    <row r="123" spans="1:5" x14ac:dyDescent="0.2">
      <c r="A123" s="24" t="s">
        <v>312</v>
      </c>
      <c r="B123" t="s">
        <v>278</v>
      </c>
      <c r="C123" t="s">
        <v>334</v>
      </c>
      <c r="D123" t="s">
        <v>330</v>
      </c>
      <c r="E123" t="s">
        <v>342</v>
      </c>
    </row>
    <row r="124" spans="1:5" x14ac:dyDescent="0.2">
      <c r="A124" s="24" t="s">
        <v>312</v>
      </c>
      <c r="B124" t="s">
        <v>290</v>
      </c>
      <c r="C124" t="s">
        <v>347</v>
      </c>
      <c r="D124" t="s">
        <v>330</v>
      </c>
      <c r="E124" t="s">
        <v>342</v>
      </c>
    </row>
    <row r="125" spans="1:5" x14ac:dyDescent="0.2">
      <c r="A125" s="24" t="s">
        <v>312</v>
      </c>
      <c r="B125" t="s">
        <v>296</v>
      </c>
      <c r="C125" t="s">
        <v>329</v>
      </c>
      <c r="D125" t="s">
        <v>332</v>
      </c>
      <c r="E125" t="s">
        <v>331</v>
      </c>
    </row>
    <row r="126" spans="1:5" x14ac:dyDescent="0.2">
      <c r="A126" s="24" t="s">
        <v>312</v>
      </c>
      <c r="B126" t="s">
        <v>278</v>
      </c>
      <c r="C126" t="s">
        <v>334</v>
      </c>
      <c r="D126" t="s">
        <v>330</v>
      </c>
      <c r="E126" t="s">
        <v>342</v>
      </c>
    </row>
    <row r="127" spans="1:5" x14ac:dyDescent="0.2">
      <c r="A127" s="24" t="s">
        <v>312</v>
      </c>
      <c r="B127" t="s">
        <v>283</v>
      </c>
      <c r="C127" t="s">
        <v>334</v>
      </c>
      <c r="D127" t="s">
        <v>330</v>
      </c>
      <c r="E127" t="s">
        <v>342</v>
      </c>
    </row>
    <row r="128" spans="1:5" x14ac:dyDescent="0.2">
      <c r="A128" s="24" t="s">
        <v>312</v>
      </c>
      <c r="B128" t="s">
        <v>282</v>
      </c>
      <c r="C128" t="s">
        <v>334</v>
      </c>
      <c r="D128" t="s">
        <v>330</v>
      </c>
      <c r="E128" t="s">
        <v>342</v>
      </c>
    </row>
    <row r="129" spans="1:6" x14ac:dyDescent="0.2">
      <c r="A129" s="24" t="s">
        <v>312</v>
      </c>
      <c r="B129" t="s">
        <v>278</v>
      </c>
      <c r="C129" t="s">
        <v>334</v>
      </c>
      <c r="D129" t="s">
        <v>330</v>
      </c>
      <c r="E129" t="s">
        <v>342</v>
      </c>
    </row>
    <row r="130" spans="1:6" x14ac:dyDescent="0.2">
      <c r="A130" s="24" t="s">
        <v>312</v>
      </c>
      <c r="B130" t="s">
        <v>292</v>
      </c>
      <c r="C130" t="s">
        <v>349</v>
      </c>
      <c r="D130" t="s">
        <v>330</v>
      </c>
      <c r="E130" t="s">
        <v>331</v>
      </c>
    </row>
    <row r="131" spans="1:6" x14ac:dyDescent="0.2">
      <c r="A131" s="24" t="s">
        <v>312</v>
      </c>
      <c r="B131" t="s">
        <v>285</v>
      </c>
      <c r="C131" t="s">
        <v>350</v>
      </c>
      <c r="E131" t="s">
        <v>333</v>
      </c>
    </row>
    <row r="132" spans="1:6" x14ac:dyDescent="0.2">
      <c r="A132" s="24" t="s">
        <v>312</v>
      </c>
      <c r="B132" t="s">
        <v>296</v>
      </c>
      <c r="C132" t="s">
        <v>355</v>
      </c>
      <c r="D132" t="s">
        <v>330</v>
      </c>
      <c r="E132" t="s">
        <v>331</v>
      </c>
    </row>
    <row r="133" spans="1:6" x14ac:dyDescent="0.2">
      <c r="A133" s="24" t="s">
        <v>312</v>
      </c>
      <c r="B133" t="s">
        <v>295</v>
      </c>
      <c r="C133" t="s">
        <v>355</v>
      </c>
      <c r="D133" t="s">
        <v>330</v>
      </c>
      <c r="E133" t="s">
        <v>338</v>
      </c>
    </row>
    <row r="134" spans="1:6" x14ac:dyDescent="0.2">
      <c r="A134" s="24" t="s">
        <v>312</v>
      </c>
      <c r="B134" t="s">
        <v>292</v>
      </c>
      <c r="C134" t="s">
        <v>334</v>
      </c>
      <c r="D134" t="s">
        <v>330</v>
      </c>
      <c r="E134" t="s">
        <v>331</v>
      </c>
    </row>
    <row r="135" spans="1:6" x14ac:dyDescent="0.2">
      <c r="A135" s="24" t="s">
        <v>312</v>
      </c>
      <c r="B135" t="s">
        <v>296</v>
      </c>
      <c r="C135" t="s">
        <v>355</v>
      </c>
      <c r="D135" t="s">
        <v>330</v>
      </c>
      <c r="E135" t="s">
        <v>331</v>
      </c>
    </row>
    <row r="136" spans="1:6" x14ac:dyDescent="0.2">
      <c r="A136" s="24" t="s">
        <v>312</v>
      </c>
      <c r="B136" t="s">
        <v>285</v>
      </c>
      <c r="C136" t="s">
        <v>329</v>
      </c>
      <c r="D136" t="s">
        <v>330</v>
      </c>
      <c r="E136" t="s">
        <v>338</v>
      </c>
    </row>
    <row r="137" spans="1:6" x14ac:dyDescent="0.2">
      <c r="A137" s="24" t="s">
        <v>312</v>
      </c>
      <c r="B137" t="s">
        <v>292</v>
      </c>
      <c r="C137" t="s">
        <v>329</v>
      </c>
      <c r="D137" t="s">
        <v>330</v>
      </c>
      <c r="E137" t="s">
        <v>331</v>
      </c>
      <c r="F137" t="s">
        <v>357</v>
      </c>
    </row>
    <row r="138" spans="1:6" x14ac:dyDescent="0.2">
      <c r="A138" s="24" t="s">
        <v>312</v>
      </c>
      <c r="B138" t="s">
        <v>292</v>
      </c>
      <c r="C138" t="s">
        <v>341</v>
      </c>
      <c r="D138" t="s">
        <v>330</v>
      </c>
      <c r="E138" t="s">
        <v>340</v>
      </c>
    </row>
    <row r="139" spans="1:6" x14ac:dyDescent="0.2">
      <c r="A139" s="24" t="s">
        <v>312</v>
      </c>
      <c r="B139" t="s">
        <v>296</v>
      </c>
      <c r="C139" t="s">
        <v>329</v>
      </c>
      <c r="D139" t="s">
        <v>330</v>
      </c>
      <c r="E139" t="s">
        <v>331</v>
      </c>
    </row>
    <row r="140" spans="1:6" x14ac:dyDescent="0.2">
      <c r="A140" s="24" t="s">
        <v>312</v>
      </c>
      <c r="B140" t="s">
        <v>296</v>
      </c>
      <c r="C140" t="s">
        <v>348</v>
      </c>
      <c r="E140" t="s">
        <v>333</v>
      </c>
    </row>
    <row r="141" spans="1:6" x14ac:dyDescent="0.2">
      <c r="A141" s="24" t="s">
        <v>312</v>
      </c>
      <c r="B141" t="s">
        <v>293</v>
      </c>
      <c r="C141" t="s">
        <v>329</v>
      </c>
      <c r="D141" t="s">
        <v>330</v>
      </c>
      <c r="E141" t="s">
        <v>346</v>
      </c>
      <c r="F141" t="s">
        <v>358</v>
      </c>
    </row>
    <row r="142" spans="1:6" x14ac:dyDescent="0.2">
      <c r="A142" s="24" t="s">
        <v>312</v>
      </c>
      <c r="B142" t="s">
        <v>295</v>
      </c>
      <c r="C142" t="s">
        <v>344</v>
      </c>
      <c r="D142" t="s">
        <v>330</v>
      </c>
      <c r="E142" t="s">
        <v>343</v>
      </c>
    </row>
    <row r="143" spans="1:6" x14ac:dyDescent="0.2">
      <c r="A143" s="24" t="s">
        <v>312</v>
      </c>
      <c r="B143" t="s">
        <v>285</v>
      </c>
      <c r="C143" t="s">
        <v>339</v>
      </c>
      <c r="D143" t="s">
        <v>330</v>
      </c>
      <c r="E143" t="s">
        <v>340</v>
      </c>
    </row>
    <row r="144" spans="1:6" x14ac:dyDescent="0.2">
      <c r="A144" s="24" t="s">
        <v>312</v>
      </c>
      <c r="B144" t="s">
        <v>295</v>
      </c>
      <c r="C144" t="s">
        <v>329</v>
      </c>
      <c r="D144" t="s">
        <v>330</v>
      </c>
      <c r="E144" t="s">
        <v>338</v>
      </c>
      <c r="F144" t="s">
        <v>357</v>
      </c>
    </row>
    <row r="145" spans="1:6" x14ac:dyDescent="0.2">
      <c r="A145" s="24" t="s">
        <v>312</v>
      </c>
      <c r="B145" t="s">
        <v>292</v>
      </c>
      <c r="C145" t="s">
        <v>341</v>
      </c>
      <c r="D145" t="s">
        <v>330</v>
      </c>
      <c r="E145" t="s">
        <v>338</v>
      </c>
    </row>
    <row r="146" spans="1:6" x14ac:dyDescent="0.2">
      <c r="A146" s="24" t="s">
        <v>312</v>
      </c>
      <c r="B146" t="s">
        <v>287</v>
      </c>
      <c r="C146" t="s">
        <v>329</v>
      </c>
      <c r="D146" t="s">
        <v>332</v>
      </c>
      <c r="E146" t="s">
        <v>338</v>
      </c>
    </row>
    <row r="147" spans="1:6" x14ac:dyDescent="0.2">
      <c r="A147" s="24" t="s">
        <v>312</v>
      </c>
      <c r="B147" t="s">
        <v>285</v>
      </c>
      <c r="C147" t="s">
        <v>329</v>
      </c>
      <c r="D147" t="s">
        <v>332</v>
      </c>
      <c r="E147" t="s">
        <v>340</v>
      </c>
    </row>
    <row r="148" spans="1:6" x14ac:dyDescent="0.2">
      <c r="A148" s="24" t="s">
        <v>313</v>
      </c>
      <c r="B148" t="s">
        <v>293</v>
      </c>
      <c r="C148" t="s">
        <v>329</v>
      </c>
      <c r="D148" t="s">
        <v>330</v>
      </c>
      <c r="E148" t="s">
        <v>331</v>
      </c>
    </row>
    <row r="149" spans="1:6" x14ac:dyDescent="0.2">
      <c r="A149" s="24" t="s">
        <v>313</v>
      </c>
      <c r="B149" t="s">
        <v>293</v>
      </c>
      <c r="C149" t="s">
        <v>344</v>
      </c>
      <c r="D149" t="s">
        <v>330</v>
      </c>
      <c r="E149" t="s">
        <v>331</v>
      </c>
    </row>
    <row r="150" spans="1:6" x14ac:dyDescent="0.2">
      <c r="A150" s="24" t="s">
        <v>313</v>
      </c>
      <c r="B150" t="s">
        <v>290</v>
      </c>
      <c r="C150" t="s">
        <v>341</v>
      </c>
      <c r="E150" t="s">
        <v>331</v>
      </c>
    </row>
    <row r="151" spans="1:6" x14ac:dyDescent="0.2">
      <c r="A151" s="24" t="s">
        <v>313</v>
      </c>
      <c r="B151" t="s">
        <v>287</v>
      </c>
      <c r="C151" t="s">
        <v>329</v>
      </c>
      <c r="F151" t="s">
        <v>357</v>
      </c>
    </row>
    <row r="152" spans="1:6" x14ac:dyDescent="0.2">
      <c r="A152" s="24" t="s">
        <v>313</v>
      </c>
      <c r="B152" t="s">
        <v>287</v>
      </c>
      <c r="C152" t="s">
        <v>261</v>
      </c>
      <c r="D152" t="s">
        <v>330</v>
      </c>
      <c r="E152" t="s">
        <v>340</v>
      </c>
    </row>
    <row r="153" spans="1:6" x14ac:dyDescent="0.2">
      <c r="A153" s="24" t="s">
        <v>313</v>
      </c>
      <c r="B153" t="s">
        <v>283</v>
      </c>
      <c r="C153" t="s">
        <v>261</v>
      </c>
      <c r="D153" t="s">
        <v>330</v>
      </c>
      <c r="E153" t="s">
        <v>346</v>
      </c>
    </row>
    <row r="154" spans="1:6" x14ac:dyDescent="0.2">
      <c r="A154" s="24" t="s">
        <v>313</v>
      </c>
      <c r="B154" t="s">
        <v>293</v>
      </c>
      <c r="C154" t="s">
        <v>337</v>
      </c>
      <c r="D154" t="s">
        <v>332</v>
      </c>
    </row>
    <row r="155" spans="1:6" x14ac:dyDescent="0.2">
      <c r="A155" s="24" t="s">
        <v>313</v>
      </c>
      <c r="B155" t="s">
        <v>293</v>
      </c>
      <c r="C155" t="s">
        <v>329</v>
      </c>
      <c r="D155" t="s">
        <v>332</v>
      </c>
    </row>
    <row r="156" spans="1:6" x14ac:dyDescent="0.2">
      <c r="A156" s="24" t="s">
        <v>313</v>
      </c>
      <c r="B156" t="s">
        <v>295</v>
      </c>
    </row>
    <row r="157" spans="1:6" x14ac:dyDescent="0.2">
      <c r="A157" s="24" t="s">
        <v>313</v>
      </c>
      <c r="B157" t="s">
        <v>278</v>
      </c>
      <c r="C157" t="s">
        <v>339</v>
      </c>
    </row>
    <row r="158" spans="1:6" x14ac:dyDescent="0.2">
      <c r="A158" s="24" t="s">
        <v>313</v>
      </c>
      <c r="B158" t="s">
        <v>285</v>
      </c>
      <c r="C158" t="s">
        <v>329</v>
      </c>
      <c r="D158" t="s">
        <v>332</v>
      </c>
    </row>
    <row r="159" spans="1:6" x14ac:dyDescent="0.2">
      <c r="A159" s="24" t="s">
        <v>313</v>
      </c>
      <c r="B159" t="s">
        <v>296</v>
      </c>
      <c r="C159" t="s">
        <v>337</v>
      </c>
      <c r="D159" t="s">
        <v>330</v>
      </c>
      <c r="E159" t="s">
        <v>343</v>
      </c>
    </row>
    <row r="160" spans="1:6" x14ac:dyDescent="0.2">
      <c r="A160" s="24" t="s">
        <v>313</v>
      </c>
      <c r="B160" t="s">
        <v>296</v>
      </c>
      <c r="C160" t="s">
        <v>355</v>
      </c>
      <c r="D160" t="s">
        <v>330</v>
      </c>
      <c r="E160" t="s">
        <v>340</v>
      </c>
    </row>
    <row r="161" spans="1:6" x14ac:dyDescent="0.2">
      <c r="A161" s="24" t="s">
        <v>313</v>
      </c>
      <c r="B161" t="s">
        <v>285</v>
      </c>
      <c r="C161" t="s">
        <v>347</v>
      </c>
    </row>
    <row r="162" spans="1:6" x14ac:dyDescent="0.2">
      <c r="A162" s="24" t="s">
        <v>313</v>
      </c>
      <c r="B162" t="s">
        <v>278</v>
      </c>
      <c r="C162" t="s">
        <v>329</v>
      </c>
      <c r="E162" t="s">
        <v>331</v>
      </c>
      <c r="F162" t="s">
        <v>357</v>
      </c>
    </row>
    <row r="163" spans="1:6" x14ac:dyDescent="0.2">
      <c r="A163" s="24" t="s">
        <v>313</v>
      </c>
      <c r="B163" t="s">
        <v>287</v>
      </c>
      <c r="C163" t="s">
        <v>337</v>
      </c>
      <c r="D163" t="s">
        <v>330</v>
      </c>
    </row>
    <row r="164" spans="1:6" x14ac:dyDescent="0.2">
      <c r="A164" s="24" t="s">
        <v>313</v>
      </c>
      <c r="B164" t="s">
        <v>287</v>
      </c>
      <c r="C164" t="s">
        <v>329</v>
      </c>
      <c r="D164" t="s">
        <v>332</v>
      </c>
      <c r="E164" t="s">
        <v>346</v>
      </c>
    </row>
    <row r="165" spans="1:6" x14ac:dyDescent="0.2">
      <c r="A165" s="24" t="s">
        <v>313</v>
      </c>
      <c r="B165" t="s">
        <v>278</v>
      </c>
      <c r="C165" t="s">
        <v>334</v>
      </c>
      <c r="D165" t="s">
        <v>330</v>
      </c>
    </row>
    <row r="166" spans="1:6" x14ac:dyDescent="0.2">
      <c r="A166" s="24" t="s">
        <v>313</v>
      </c>
      <c r="B166" t="s">
        <v>283</v>
      </c>
      <c r="C166" t="s">
        <v>334</v>
      </c>
      <c r="D166" t="s">
        <v>330</v>
      </c>
    </row>
    <row r="167" spans="1:6" x14ac:dyDescent="0.2">
      <c r="A167" s="24" t="s">
        <v>313</v>
      </c>
      <c r="B167" t="s">
        <v>287</v>
      </c>
      <c r="C167" t="s">
        <v>329</v>
      </c>
      <c r="D167" t="s">
        <v>332</v>
      </c>
      <c r="E167" t="s">
        <v>346</v>
      </c>
    </row>
    <row r="168" spans="1:6" x14ac:dyDescent="0.2">
      <c r="A168" s="24" t="s">
        <v>313</v>
      </c>
      <c r="B168" t="s">
        <v>282</v>
      </c>
      <c r="C168" t="s">
        <v>344</v>
      </c>
      <c r="E168" t="s">
        <v>342</v>
      </c>
    </row>
    <row r="169" spans="1:6" x14ac:dyDescent="0.2">
      <c r="A169" s="24" t="s">
        <v>313</v>
      </c>
      <c r="B169" t="s">
        <v>296</v>
      </c>
      <c r="C169" t="s">
        <v>329</v>
      </c>
      <c r="D169" t="s">
        <v>330</v>
      </c>
    </row>
    <row r="170" spans="1:6" x14ac:dyDescent="0.2">
      <c r="A170" s="24" t="s">
        <v>313</v>
      </c>
      <c r="B170" t="s">
        <v>282</v>
      </c>
      <c r="C170" t="s">
        <v>337</v>
      </c>
      <c r="D170" t="s">
        <v>332</v>
      </c>
    </row>
    <row r="171" spans="1:6" x14ac:dyDescent="0.2">
      <c r="A171" s="24" t="s">
        <v>313</v>
      </c>
      <c r="B171" t="s">
        <v>290</v>
      </c>
      <c r="C171" t="s">
        <v>355</v>
      </c>
    </row>
    <row r="172" spans="1:6" x14ac:dyDescent="0.2">
      <c r="A172" s="24" t="s">
        <v>313</v>
      </c>
      <c r="B172" t="s">
        <v>290</v>
      </c>
      <c r="C172" t="s">
        <v>344</v>
      </c>
    </row>
    <row r="173" spans="1:6" x14ac:dyDescent="0.2">
      <c r="A173" s="24" t="s">
        <v>313</v>
      </c>
      <c r="B173" t="s">
        <v>292</v>
      </c>
      <c r="C173" t="s">
        <v>355</v>
      </c>
      <c r="D173" t="s">
        <v>330</v>
      </c>
      <c r="E173" t="s">
        <v>331</v>
      </c>
    </row>
    <row r="174" spans="1:6" x14ac:dyDescent="0.2">
      <c r="A174" s="24" t="s">
        <v>313</v>
      </c>
      <c r="B174" t="s">
        <v>293</v>
      </c>
      <c r="C174" t="s">
        <v>337</v>
      </c>
      <c r="D174" t="s">
        <v>332</v>
      </c>
      <c r="E174" t="s">
        <v>331</v>
      </c>
    </row>
    <row r="175" spans="1:6" x14ac:dyDescent="0.2">
      <c r="A175" s="24" t="s">
        <v>313</v>
      </c>
      <c r="B175" t="s">
        <v>292</v>
      </c>
      <c r="C175" t="s">
        <v>334</v>
      </c>
      <c r="D175" t="s">
        <v>332</v>
      </c>
      <c r="E175" t="s">
        <v>331</v>
      </c>
    </row>
    <row r="176" spans="1:6" x14ac:dyDescent="0.2">
      <c r="A176" s="24" t="s">
        <v>313</v>
      </c>
      <c r="B176" t="s">
        <v>287</v>
      </c>
      <c r="C176" t="s">
        <v>359</v>
      </c>
      <c r="D176" t="s">
        <v>330</v>
      </c>
      <c r="E176" t="s">
        <v>331</v>
      </c>
    </row>
    <row r="177" spans="1:6" x14ac:dyDescent="0.2">
      <c r="A177" s="24" t="s">
        <v>313</v>
      </c>
      <c r="B177" t="s">
        <v>292</v>
      </c>
      <c r="C177" t="s">
        <v>337</v>
      </c>
      <c r="D177" t="s">
        <v>332</v>
      </c>
      <c r="E177" t="s">
        <v>331</v>
      </c>
    </row>
    <row r="178" spans="1:6" x14ac:dyDescent="0.2">
      <c r="A178" s="24" t="s">
        <v>313</v>
      </c>
      <c r="B178" t="s">
        <v>278</v>
      </c>
      <c r="C178" t="s">
        <v>347</v>
      </c>
      <c r="E178" t="s">
        <v>335</v>
      </c>
    </row>
    <row r="179" spans="1:6" x14ac:dyDescent="0.2">
      <c r="A179" s="24" t="s">
        <v>313</v>
      </c>
      <c r="B179" t="s">
        <v>292</v>
      </c>
      <c r="C179" t="s">
        <v>344</v>
      </c>
      <c r="D179" t="s">
        <v>330</v>
      </c>
      <c r="E179" t="s">
        <v>331</v>
      </c>
    </row>
    <row r="180" spans="1:6" x14ac:dyDescent="0.2">
      <c r="A180" s="24" t="s">
        <v>313</v>
      </c>
      <c r="B180" t="s">
        <v>296</v>
      </c>
      <c r="C180" t="s">
        <v>334</v>
      </c>
    </row>
    <row r="181" spans="1:6" x14ac:dyDescent="0.2">
      <c r="A181" s="24" t="s">
        <v>313</v>
      </c>
      <c r="B181" t="s">
        <v>282</v>
      </c>
      <c r="C181" t="s">
        <v>329</v>
      </c>
      <c r="E181" t="s">
        <v>342</v>
      </c>
    </row>
    <row r="182" spans="1:6" x14ac:dyDescent="0.2">
      <c r="A182" s="24" t="s">
        <v>313</v>
      </c>
      <c r="B182" t="s">
        <v>287</v>
      </c>
      <c r="C182" t="s">
        <v>337</v>
      </c>
      <c r="D182" t="s">
        <v>330</v>
      </c>
      <c r="E182" t="s">
        <v>331</v>
      </c>
    </row>
    <row r="183" spans="1:6" x14ac:dyDescent="0.2">
      <c r="A183" s="24" t="s">
        <v>313</v>
      </c>
      <c r="B183" t="s">
        <v>287</v>
      </c>
      <c r="C183" t="s">
        <v>334</v>
      </c>
    </row>
    <row r="184" spans="1:6" x14ac:dyDescent="0.2">
      <c r="A184" s="24" t="s">
        <v>313</v>
      </c>
      <c r="B184" t="s">
        <v>283</v>
      </c>
      <c r="C184" t="s">
        <v>341</v>
      </c>
      <c r="D184" t="s">
        <v>330</v>
      </c>
      <c r="E184" t="s">
        <v>336</v>
      </c>
    </row>
    <row r="185" spans="1:6" x14ac:dyDescent="0.2">
      <c r="A185" s="24" t="s">
        <v>313</v>
      </c>
      <c r="B185" t="s">
        <v>292</v>
      </c>
      <c r="C185" t="s">
        <v>344</v>
      </c>
      <c r="E185" t="s">
        <v>331</v>
      </c>
    </row>
    <row r="186" spans="1:6" x14ac:dyDescent="0.2">
      <c r="A186" s="24" t="s">
        <v>314</v>
      </c>
      <c r="B186" t="s">
        <v>296</v>
      </c>
      <c r="C186" t="s">
        <v>329</v>
      </c>
      <c r="D186" t="s">
        <v>330</v>
      </c>
      <c r="E186" t="s">
        <v>331</v>
      </c>
      <c r="F186" t="s">
        <v>357</v>
      </c>
    </row>
    <row r="187" spans="1:6" x14ac:dyDescent="0.2">
      <c r="A187" s="24" t="s">
        <v>314</v>
      </c>
      <c r="B187" t="s">
        <v>292</v>
      </c>
    </row>
    <row r="188" spans="1:6" x14ac:dyDescent="0.2">
      <c r="A188" s="24" t="s">
        <v>314</v>
      </c>
    </row>
    <row r="189" spans="1:6" x14ac:dyDescent="0.2">
      <c r="A189" s="24" t="s">
        <v>314</v>
      </c>
      <c r="B189" t="s">
        <v>283</v>
      </c>
      <c r="C189" t="s">
        <v>329</v>
      </c>
      <c r="D189" t="s">
        <v>332</v>
      </c>
    </row>
    <row r="190" spans="1:6" x14ac:dyDescent="0.2">
      <c r="A190" s="24" t="s">
        <v>314</v>
      </c>
      <c r="B190" t="s">
        <v>282</v>
      </c>
      <c r="C190" t="s">
        <v>329</v>
      </c>
      <c r="F190" t="s">
        <v>357</v>
      </c>
    </row>
    <row r="191" spans="1:6" x14ac:dyDescent="0.2">
      <c r="A191" s="24" t="s">
        <v>314</v>
      </c>
      <c r="B191" t="s">
        <v>295</v>
      </c>
      <c r="C191" t="s">
        <v>348</v>
      </c>
      <c r="E191" t="s">
        <v>333</v>
      </c>
    </row>
    <row r="192" spans="1:6" x14ac:dyDescent="0.2">
      <c r="A192" s="24" t="s">
        <v>314</v>
      </c>
      <c r="B192" t="s">
        <v>282</v>
      </c>
      <c r="C192" t="s">
        <v>329</v>
      </c>
      <c r="D192" t="s">
        <v>332</v>
      </c>
      <c r="E192" t="s">
        <v>331</v>
      </c>
    </row>
    <row r="193" spans="1:6" x14ac:dyDescent="0.2">
      <c r="A193" s="24" t="s">
        <v>314</v>
      </c>
      <c r="B193" t="s">
        <v>279</v>
      </c>
      <c r="C193" t="s">
        <v>348</v>
      </c>
      <c r="D193" t="s">
        <v>80</v>
      </c>
      <c r="E193" t="s">
        <v>333</v>
      </c>
    </row>
    <row r="194" spans="1:6" x14ac:dyDescent="0.2">
      <c r="A194" s="24" t="s">
        <v>314</v>
      </c>
      <c r="B194" t="s">
        <v>296</v>
      </c>
      <c r="C194" t="s">
        <v>339</v>
      </c>
      <c r="E194" t="s">
        <v>343</v>
      </c>
    </row>
    <row r="195" spans="1:6" x14ac:dyDescent="0.2">
      <c r="A195" s="24" t="s">
        <v>314</v>
      </c>
      <c r="B195" t="s">
        <v>282</v>
      </c>
      <c r="C195" t="s">
        <v>355</v>
      </c>
      <c r="D195" t="s">
        <v>330</v>
      </c>
      <c r="E195" t="s">
        <v>331</v>
      </c>
    </row>
    <row r="196" spans="1:6" x14ac:dyDescent="0.2">
      <c r="A196" s="24" t="s">
        <v>314</v>
      </c>
      <c r="B196" t="s">
        <v>280</v>
      </c>
      <c r="C196" t="s">
        <v>329</v>
      </c>
      <c r="D196" t="s">
        <v>330</v>
      </c>
      <c r="E196" t="s">
        <v>331</v>
      </c>
    </row>
    <row r="197" spans="1:6" x14ac:dyDescent="0.2">
      <c r="A197" s="24" t="s">
        <v>314</v>
      </c>
      <c r="B197" t="s">
        <v>293</v>
      </c>
      <c r="C197" t="s">
        <v>329</v>
      </c>
      <c r="D197" t="s">
        <v>330</v>
      </c>
      <c r="E197" t="s">
        <v>331</v>
      </c>
    </row>
    <row r="198" spans="1:6" x14ac:dyDescent="0.2">
      <c r="A198" s="24" t="s">
        <v>314</v>
      </c>
      <c r="B198" t="s">
        <v>290</v>
      </c>
      <c r="C198" t="s">
        <v>355</v>
      </c>
      <c r="D198" t="s">
        <v>332</v>
      </c>
      <c r="E198" t="s">
        <v>342</v>
      </c>
    </row>
    <row r="199" spans="1:6" x14ac:dyDescent="0.2">
      <c r="A199" s="24" t="s">
        <v>314</v>
      </c>
      <c r="B199" t="s">
        <v>280</v>
      </c>
      <c r="C199" t="s">
        <v>329</v>
      </c>
      <c r="D199" t="s">
        <v>330</v>
      </c>
      <c r="E199" t="s">
        <v>331</v>
      </c>
    </row>
    <row r="200" spans="1:6" x14ac:dyDescent="0.2">
      <c r="A200" s="24" t="s">
        <v>314</v>
      </c>
      <c r="B200" t="s">
        <v>282</v>
      </c>
      <c r="C200" t="s">
        <v>337</v>
      </c>
      <c r="D200" t="s">
        <v>332</v>
      </c>
      <c r="E200" t="s">
        <v>331</v>
      </c>
    </row>
    <row r="201" spans="1:6" x14ac:dyDescent="0.2">
      <c r="A201" s="24" t="s">
        <v>314</v>
      </c>
      <c r="B201" t="s">
        <v>292</v>
      </c>
      <c r="C201" t="s">
        <v>337</v>
      </c>
      <c r="D201" t="s">
        <v>330</v>
      </c>
      <c r="E201" t="s">
        <v>343</v>
      </c>
    </row>
    <row r="202" spans="1:6" x14ac:dyDescent="0.2">
      <c r="A202" s="24" t="s">
        <v>314</v>
      </c>
      <c r="B202" t="s">
        <v>296</v>
      </c>
      <c r="C202" t="s">
        <v>329</v>
      </c>
      <c r="D202" t="s">
        <v>332</v>
      </c>
      <c r="E202" t="s">
        <v>343</v>
      </c>
    </row>
    <row r="203" spans="1:6" x14ac:dyDescent="0.2">
      <c r="A203" s="24" t="s">
        <v>314</v>
      </c>
      <c r="B203" t="s">
        <v>292</v>
      </c>
      <c r="C203" t="s">
        <v>329</v>
      </c>
      <c r="D203" t="s">
        <v>330</v>
      </c>
      <c r="E203" t="s">
        <v>333</v>
      </c>
    </row>
    <row r="204" spans="1:6" x14ac:dyDescent="0.2">
      <c r="A204" s="24" t="s">
        <v>314</v>
      </c>
      <c r="B204" t="s">
        <v>279</v>
      </c>
      <c r="C204" t="s">
        <v>329</v>
      </c>
      <c r="D204" t="s">
        <v>330</v>
      </c>
      <c r="E204" t="s">
        <v>333</v>
      </c>
    </row>
    <row r="205" spans="1:6" x14ac:dyDescent="0.2">
      <c r="A205" s="24" t="s">
        <v>314</v>
      </c>
      <c r="B205" t="s">
        <v>293</v>
      </c>
      <c r="C205" t="s">
        <v>355</v>
      </c>
      <c r="D205" t="s">
        <v>330</v>
      </c>
      <c r="E205" t="s">
        <v>331</v>
      </c>
    </row>
    <row r="206" spans="1:6" x14ac:dyDescent="0.2">
      <c r="A206" s="24" t="s">
        <v>314</v>
      </c>
      <c r="B206" t="s">
        <v>283</v>
      </c>
      <c r="C206" t="s">
        <v>355</v>
      </c>
      <c r="E206" t="s">
        <v>336</v>
      </c>
    </row>
    <row r="207" spans="1:6" x14ac:dyDescent="0.2">
      <c r="A207" s="24" t="s">
        <v>314</v>
      </c>
      <c r="B207" t="s">
        <v>278</v>
      </c>
      <c r="C207" t="s">
        <v>329</v>
      </c>
      <c r="D207" t="s">
        <v>330</v>
      </c>
      <c r="E207" t="s">
        <v>331</v>
      </c>
      <c r="F207" t="s">
        <v>357</v>
      </c>
    </row>
    <row r="208" spans="1:6" x14ac:dyDescent="0.2">
      <c r="A208" s="24" t="s">
        <v>314</v>
      </c>
      <c r="B208" t="s">
        <v>292</v>
      </c>
      <c r="C208" t="s">
        <v>329</v>
      </c>
      <c r="D208" t="s">
        <v>330</v>
      </c>
      <c r="E208" t="s">
        <v>331</v>
      </c>
    </row>
    <row r="209" spans="1:6" x14ac:dyDescent="0.2">
      <c r="A209" s="24" t="s">
        <v>314</v>
      </c>
      <c r="B209" t="s">
        <v>280</v>
      </c>
      <c r="C209" t="s">
        <v>337</v>
      </c>
      <c r="D209" t="s">
        <v>332</v>
      </c>
    </row>
    <row r="210" spans="1:6" x14ac:dyDescent="0.2">
      <c r="A210" s="24" t="s">
        <v>314</v>
      </c>
      <c r="B210" t="s">
        <v>296</v>
      </c>
      <c r="C210" t="s">
        <v>351</v>
      </c>
      <c r="D210" t="s">
        <v>330</v>
      </c>
      <c r="E210" t="s">
        <v>340</v>
      </c>
    </row>
    <row r="211" spans="1:6" x14ac:dyDescent="0.2">
      <c r="A211" s="24" t="s">
        <v>314</v>
      </c>
      <c r="B211" t="s">
        <v>292</v>
      </c>
      <c r="C211" t="s">
        <v>329</v>
      </c>
      <c r="D211" t="s">
        <v>330</v>
      </c>
      <c r="E211" t="s">
        <v>342</v>
      </c>
    </row>
    <row r="212" spans="1:6" x14ac:dyDescent="0.2">
      <c r="A212" s="24" t="s">
        <v>314</v>
      </c>
      <c r="B212" t="s">
        <v>296</v>
      </c>
      <c r="C212" t="s">
        <v>329</v>
      </c>
      <c r="D212" t="s">
        <v>332</v>
      </c>
      <c r="E212" t="s">
        <v>343</v>
      </c>
      <c r="F212" t="s">
        <v>357</v>
      </c>
    </row>
    <row r="213" spans="1:6" x14ac:dyDescent="0.2">
      <c r="A213" s="24" t="s">
        <v>314</v>
      </c>
      <c r="B213" s="4" t="s">
        <v>292</v>
      </c>
      <c r="C213" s="4" t="s">
        <v>337</v>
      </c>
      <c r="D213" s="4" t="s">
        <v>330</v>
      </c>
      <c r="E213" s="4" t="s">
        <v>343</v>
      </c>
      <c r="F213" s="4"/>
    </row>
    <row r="214" spans="1:6" x14ac:dyDescent="0.2">
      <c r="A214" s="24" t="s">
        <v>314</v>
      </c>
      <c r="B214" s="4" t="s">
        <v>292</v>
      </c>
      <c r="C214" s="4" t="s">
        <v>344</v>
      </c>
      <c r="D214" s="4" t="s">
        <v>330</v>
      </c>
      <c r="E214" s="4" t="s">
        <v>343</v>
      </c>
      <c r="F214" s="4"/>
    </row>
    <row r="215" spans="1:6" x14ac:dyDescent="0.2">
      <c r="A215" s="24" t="s">
        <v>314</v>
      </c>
      <c r="B215" s="4" t="s">
        <v>279</v>
      </c>
      <c r="C215" s="4" t="s">
        <v>359</v>
      </c>
      <c r="D215" s="4" t="s">
        <v>330</v>
      </c>
      <c r="E215" s="4" t="s">
        <v>346</v>
      </c>
      <c r="F215" s="4"/>
    </row>
    <row r="216" spans="1:6" x14ac:dyDescent="0.2">
      <c r="A216" s="24" t="s">
        <v>314</v>
      </c>
      <c r="B216" s="4" t="s">
        <v>290</v>
      </c>
      <c r="C216" s="4" t="s">
        <v>355</v>
      </c>
      <c r="D216" s="4" t="s">
        <v>330</v>
      </c>
      <c r="E216" s="4" t="s">
        <v>342</v>
      </c>
      <c r="F216" s="4"/>
    </row>
    <row r="217" spans="1:6" x14ac:dyDescent="0.2">
      <c r="A217" s="24" t="s">
        <v>276</v>
      </c>
      <c r="B217" s="4" t="s">
        <v>283</v>
      </c>
      <c r="C217" s="4" t="s">
        <v>341</v>
      </c>
      <c r="D217" s="4" t="s">
        <v>330</v>
      </c>
      <c r="E217" s="4" t="s">
        <v>335</v>
      </c>
      <c r="F217" s="4"/>
    </row>
    <row r="218" spans="1:6" x14ac:dyDescent="0.2">
      <c r="A218" s="24" t="s">
        <v>276</v>
      </c>
      <c r="B218" s="4" t="s">
        <v>292</v>
      </c>
      <c r="C218" s="4" t="s">
        <v>329</v>
      </c>
      <c r="D218" s="4" t="s">
        <v>330</v>
      </c>
      <c r="E218" s="4" t="s">
        <v>331</v>
      </c>
      <c r="F218" s="4"/>
    </row>
    <row r="219" spans="1:6" x14ac:dyDescent="0.2">
      <c r="A219" s="24" t="s">
        <v>276</v>
      </c>
      <c r="B219" s="4" t="s">
        <v>293</v>
      </c>
      <c r="C219" s="4" t="s">
        <v>337</v>
      </c>
      <c r="D219" s="4" t="s">
        <v>332</v>
      </c>
      <c r="E219" s="4" t="s">
        <v>331</v>
      </c>
      <c r="F219" s="4"/>
    </row>
    <row r="220" spans="1:6" x14ac:dyDescent="0.2">
      <c r="A220" s="24" t="s">
        <v>276</v>
      </c>
      <c r="B220" s="4" t="s">
        <v>296</v>
      </c>
      <c r="C220" s="4" t="s">
        <v>329</v>
      </c>
      <c r="D220" s="4" t="s">
        <v>330</v>
      </c>
      <c r="E220" s="4" t="s">
        <v>331</v>
      </c>
      <c r="F220" s="4"/>
    </row>
    <row r="221" spans="1:6" x14ac:dyDescent="0.2">
      <c r="A221" s="24" t="s">
        <v>276</v>
      </c>
      <c r="B221" s="4" t="s">
        <v>296</v>
      </c>
      <c r="C221" s="4" t="s">
        <v>344</v>
      </c>
      <c r="D221" s="4"/>
      <c r="E221" s="4" t="s">
        <v>331</v>
      </c>
      <c r="F221" s="4"/>
    </row>
    <row r="222" spans="1:6" x14ac:dyDescent="0.2">
      <c r="A222" s="24" t="s">
        <v>276</v>
      </c>
      <c r="B222" s="4" t="s">
        <v>306</v>
      </c>
      <c r="C222" s="4" t="s">
        <v>329</v>
      </c>
      <c r="D222" s="4" t="s">
        <v>332</v>
      </c>
      <c r="E222" s="4" t="s">
        <v>333</v>
      </c>
      <c r="F222" s="4"/>
    </row>
    <row r="223" spans="1:6" x14ac:dyDescent="0.2">
      <c r="A223" s="24" t="s">
        <v>276</v>
      </c>
      <c r="B223" s="4" t="s">
        <v>290</v>
      </c>
      <c r="C223" s="4" t="s">
        <v>337</v>
      </c>
      <c r="D223" s="4" t="s">
        <v>330</v>
      </c>
      <c r="E223" s="4"/>
      <c r="F223" s="4"/>
    </row>
    <row r="224" spans="1:6" x14ac:dyDescent="0.2">
      <c r="A224" s="24" t="s">
        <v>276</v>
      </c>
      <c r="B224" s="4" t="s">
        <v>290</v>
      </c>
      <c r="C224" s="4" t="s">
        <v>329</v>
      </c>
      <c r="D224" s="4"/>
      <c r="E224" s="4"/>
      <c r="F224" s="4" t="s">
        <v>357</v>
      </c>
    </row>
    <row r="225" spans="1:6" x14ac:dyDescent="0.2">
      <c r="A225" s="24" t="s">
        <v>276</v>
      </c>
      <c r="B225" s="4" t="s">
        <v>292</v>
      </c>
      <c r="C225" s="4" t="s">
        <v>337</v>
      </c>
      <c r="D225" s="4" t="s">
        <v>330</v>
      </c>
      <c r="E225" s="4"/>
      <c r="F225" s="4"/>
    </row>
    <row r="226" spans="1:6" x14ac:dyDescent="0.2">
      <c r="A226" s="24" t="s">
        <v>276</v>
      </c>
      <c r="B226" s="4" t="s">
        <v>292</v>
      </c>
      <c r="C226" s="4" t="s">
        <v>347</v>
      </c>
      <c r="D226" s="4"/>
      <c r="E226" s="4"/>
      <c r="F226" s="4"/>
    </row>
    <row r="227" spans="1:6" x14ac:dyDescent="0.2">
      <c r="A227" s="24" t="s">
        <v>276</v>
      </c>
      <c r="B227" s="4" t="s">
        <v>306</v>
      </c>
      <c r="C227" s="4" t="s">
        <v>329</v>
      </c>
      <c r="D227" s="4"/>
      <c r="E227" s="4"/>
      <c r="F227" s="4" t="s">
        <v>357</v>
      </c>
    </row>
    <row r="228" spans="1:6" x14ac:dyDescent="0.2">
      <c r="A228" s="23" t="s">
        <v>276</v>
      </c>
      <c r="B228" s="4" t="s">
        <v>306</v>
      </c>
      <c r="C228" s="4" t="s">
        <v>329</v>
      </c>
      <c r="D228" s="4" t="s">
        <v>330</v>
      </c>
      <c r="E228" s="4" t="s">
        <v>346</v>
      </c>
      <c r="F228" s="4"/>
    </row>
    <row r="229" spans="1:6" x14ac:dyDescent="0.2">
      <c r="A229" s="23" t="s">
        <v>276</v>
      </c>
      <c r="B229" s="4" t="s">
        <v>292</v>
      </c>
      <c r="C229" s="4" t="s">
        <v>329</v>
      </c>
      <c r="D229" s="4" t="s">
        <v>330</v>
      </c>
      <c r="E229" s="4" t="s">
        <v>331</v>
      </c>
      <c r="F229" s="4"/>
    </row>
    <row r="230" spans="1:6" x14ac:dyDescent="0.2">
      <c r="A230" s="23" t="s">
        <v>276</v>
      </c>
      <c r="B230" s="4" t="s">
        <v>278</v>
      </c>
      <c r="C230" s="4" t="s">
        <v>329</v>
      </c>
      <c r="D230" s="4" t="s">
        <v>332</v>
      </c>
      <c r="E230" s="4" t="s">
        <v>342</v>
      </c>
      <c r="F230" s="4" t="s">
        <v>357</v>
      </c>
    </row>
    <row r="231" spans="1:6" x14ac:dyDescent="0.2">
      <c r="A231" s="23" t="s">
        <v>276</v>
      </c>
      <c r="B231" s="4" t="s">
        <v>278</v>
      </c>
      <c r="C231" s="4" t="s">
        <v>329</v>
      </c>
      <c r="D231" s="4" t="s">
        <v>332</v>
      </c>
      <c r="E231" s="4"/>
      <c r="F231" s="4" t="s">
        <v>357</v>
      </c>
    </row>
    <row r="232" spans="1:6" x14ac:dyDescent="0.2">
      <c r="A232" s="23" t="s">
        <v>276</v>
      </c>
      <c r="B232" s="4" t="s">
        <v>306</v>
      </c>
      <c r="C232" s="4" t="s">
        <v>329</v>
      </c>
      <c r="D232" s="4" t="s">
        <v>330</v>
      </c>
      <c r="E232" s="4"/>
      <c r="F232" s="4" t="s">
        <v>357</v>
      </c>
    </row>
    <row r="233" spans="1:6" x14ac:dyDescent="0.2">
      <c r="A233" s="23" t="s">
        <v>276</v>
      </c>
      <c r="B233" s="4" t="s">
        <v>278</v>
      </c>
      <c r="C233" s="4" t="s">
        <v>329</v>
      </c>
      <c r="D233" s="4" t="s">
        <v>330</v>
      </c>
      <c r="E233" s="4" t="s">
        <v>342</v>
      </c>
      <c r="F233" s="4" t="s">
        <v>357</v>
      </c>
    </row>
    <row r="234" spans="1:6" x14ac:dyDescent="0.2">
      <c r="A234" s="23" t="s">
        <v>276</v>
      </c>
      <c r="B234" s="4" t="s">
        <v>278</v>
      </c>
      <c r="C234" s="4" t="s">
        <v>329</v>
      </c>
      <c r="D234" s="4" t="s">
        <v>330</v>
      </c>
      <c r="E234" s="4" t="s">
        <v>342</v>
      </c>
      <c r="F234" s="4" t="s">
        <v>357</v>
      </c>
    </row>
    <row r="235" spans="1:6" x14ac:dyDescent="0.2">
      <c r="A235" s="23" t="s">
        <v>276</v>
      </c>
      <c r="B235" s="4" t="s">
        <v>278</v>
      </c>
      <c r="C235" s="4" t="s">
        <v>329</v>
      </c>
      <c r="D235" s="4" t="s">
        <v>330</v>
      </c>
      <c r="E235" s="4" t="s">
        <v>342</v>
      </c>
      <c r="F235" s="4" t="s">
        <v>357</v>
      </c>
    </row>
    <row r="236" spans="1:6" x14ac:dyDescent="0.2">
      <c r="A236" s="23" t="s">
        <v>276</v>
      </c>
      <c r="B236" s="4" t="s">
        <v>278</v>
      </c>
      <c r="C236" s="4" t="s">
        <v>329</v>
      </c>
      <c r="D236" s="4" t="s">
        <v>330</v>
      </c>
      <c r="E236" s="4" t="s">
        <v>342</v>
      </c>
      <c r="F236" s="4" t="s">
        <v>357</v>
      </c>
    </row>
    <row r="237" spans="1:6" x14ac:dyDescent="0.2">
      <c r="A237" s="23" t="s">
        <v>276</v>
      </c>
      <c r="B237" s="4" t="s">
        <v>278</v>
      </c>
      <c r="C237" s="4" t="s">
        <v>329</v>
      </c>
      <c r="D237" s="4" t="s">
        <v>330</v>
      </c>
      <c r="E237" s="4" t="s">
        <v>342</v>
      </c>
      <c r="F237" s="4" t="s">
        <v>357</v>
      </c>
    </row>
    <row r="238" spans="1:6" x14ac:dyDescent="0.2">
      <c r="A238" s="23" t="s">
        <v>276</v>
      </c>
      <c r="B238" s="4" t="s">
        <v>278</v>
      </c>
      <c r="C238" s="4" t="s">
        <v>329</v>
      </c>
      <c r="D238" s="4" t="s">
        <v>330</v>
      </c>
      <c r="E238" s="4" t="s">
        <v>342</v>
      </c>
      <c r="F238" s="4" t="s">
        <v>357</v>
      </c>
    </row>
    <row r="239" spans="1:6" x14ac:dyDescent="0.2">
      <c r="A239" s="23" t="s">
        <v>276</v>
      </c>
      <c r="B239" s="4" t="s">
        <v>278</v>
      </c>
      <c r="C239" s="4" t="s">
        <v>329</v>
      </c>
      <c r="D239" s="4" t="s">
        <v>330</v>
      </c>
      <c r="E239" s="4" t="s">
        <v>342</v>
      </c>
      <c r="F239" s="4" t="s">
        <v>357</v>
      </c>
    </row>
    <row r="240" spans="1:6" x14ac:dyDescent="0.2">
      <c r="A240" s="23" t="s">
        <v>276</v>
      </c>
      <c r="B240" s="4" t="s">
        <v>278</v>
      </c>
      <c r="C240" s="4" t="s">
        <v>329</v>
      </c>
      <c r="D240" s="4" t="s">
        <v>330</v>
      </c>
      <c r="E240" s="4" t="s">
        <v>342</v>
      </c>
      <c r="F240" s="4" t="s">
        <v>357</v>
      </c>
    </row>
    <row r="241" spans="1:6" x14ac:dyDescent="0.2">
      <c r="A241" s="23" t="s">
        <v>276</v>
      </c>
      <c r="B241" s="4" t="s">
        <v>278</v>
      </c>
      <c r="C241" s="4" t="s">
        <v>329</v>
      </c>
      <c r="D241" s="4" t="s">
        <v>330</v>
      </c>
      <c r="E241" s="4" t="s">
        <v>342</v>
      </c>
      <c r="F241" s="4" t="s">
        <v>357</v>
      </c>
    </row>
    <row r="242" spans="1:6" x14ac:dyDescent="0.2">
      <c r="A242" s="23" t="s">
        <v>276</v>
      </c>
      <c r="B242" s="4" t="s">
        <v>278</v>
      </c>
      <c r="C242" s="4" t="s">
        <v>329</v>
      </c>
      <c r="D242" s="4" t="s">
        <v>330</v>
      </c>
      <c r="E242" s="4" t="s">
        <v>342</v>
      </c>
      <c r="F242" s="4" t="s">
        <v>357</v>
      </c>
    </row>
    <row r="243" spans="1:6" x14ac:dyDescent="0.2">
      <c r="A243" s="23" t="s">
        <v>276</v>
      </c>
      <c r="B243" s="4" t="s">
        <v>280</v>
      </c>
      <c r="C243" s="4" t="s">
        <v>329</v>
      </c>
      <c r="D243" s="4" t="s">
        <v>330</v>
      </c>
      <c r="E243" s="4" t="s">
        <v>343</v>
      </c>
      <c r="F243" s="4"/>
    </row>
    <row r="244" spans="1:6" x14ac:dyDescent="0.2">
      <c r="A244" s="23" t="s">
        <v>276</v>
      </c>
      <c r="B244" s="4" t="s">
        <v>278</v>
      </c>
      <c r="C244" s="4" t="s">
        <v>329</v>
      </c>
      <c r="D244" s="4" t="s">
        <v>330</v>
      </c>
      <c r="E244" s="4"/>
      <c r="F244" s="4"/>
    </row>
    <row r="245" spans="1:6" x14ac:dyDescent="0.2">
      <c r="A245" s="23" t="s">
        <v>276</v>
      </c>
      <c r="B245" s="4" t="s">
        <v>306</v>
      </c>
      <c r="C245" s="4" t="s">
        <v>337</v>
      </c>
      <c r="D245" s="4" t="s">
        <v>332</v>
      </c>
      <c r="E245" s="4" t="s">
        <v>340</v>
      </c>
      <c r="F245" s="4"/>
    </row>
    <row r="246" spans="1:6" x14ac:dyDescent="0.2">
      <c r="A246" s="23" t="s">
        <v>276</v>
      </c>
      <c r="B246" s="4" t="s">
        <v>280</v>
      </c>
      <c r="C246" s="4" t="s">
        <v>329</v>
      </c>
      <c r="D246" s="4" t="s">
        <v>330</v>
      </c>
      <c r="E246" s="4" t="s">
        <v>343</v>
      </c>
      <c r="F246" s="4"/>
    </row>
    <row r="247" spans="1:6" x14ac:dyDescent="0.2">
      <c r="A247" s="23" t="s">
        <v>276</v>
      </c>
      <c r="B247" s="4" t="s">
        <v>278</v>
      </c>
      <c r="C247" s="4" t="s">
        <v>339</v>
      </c>
      <c r="D247" s="4" t="s">
        <v>330</v>
      </c>
      <c r="E247" s="4" t="s">
        <v>331</v>
      </c>
      <c r="F247" s="4"/>
    </row>
    <row r="248" spans="1:6" x14ac:dyDescent="0.2">
      <c r="A248" s="23" t="s">
        <v>276</v>
      </c>
      <c r="B248" s="4" t="s">
        <v>280</v>
      </c>
      <c r="C248" s="4" t="s">
        <v>347</v>
      </c>
      <c r="D248" s="4"/>
      <c r="E248" s="4"/>
      <c r="F248" s="4"/>
    </row>
    <row r="249" spans="1:6" x14ac:dyDescent="0.2">
      <c r="A249" s="23" t="s">
        <v>276</v>
      </c>
      <c r="B249" s="4" t="s">
        <v>280</v>
      </c>
      <c r="C249" s="4" t="s">
        <v>347</v>
      </c>
      <c r="D249" s="4"/>
      <c r="E249" s="4"/>
      <c r="F249" s="4"/>
    </row>
    <row r="250" spans="1:6" x14ac:dyDescent="0.2">
      <c r="A250" s="23" t="s">
        <v>276</v>
      </c>
      <c r="B250" s="4" t="s">
        <v>284</v>
      </c>
      <c r="C250" s="4" t="s">
        <v>344</v>
      </c>
      <c r="D250" s="4"/>
      <c r="E250" s="4"/>
      <c r="F250" s="4"/>
    </row>
    <row r="251" spans="1:6" x14ac:dyDescent="0.2">
      <c r="A251" s="23" t="s">
        <v>276</v>
      </c>
      <c r="B251" s="4" t="s">
        <v>284</v>
      </c>
      <c r="C251" s="4" t="s">
        <v>347</v>
      </c>
      <c r="D251" s="4" t="s">
        <v>332</v>
      </c>
      <c r="E251" s="4" t="s">
        <v>331</v>
      </c>
      <c r="F251" s="4"/>
    </row>
    <row r="252" spans="1:6" x14ac:dyDescent="0.2">
      <c r="A252" s="23" t="s">
        <v>276</v>
      </c>
      <c r="B252" s="4" t="s">
        <v>292</v>
      </c>
      <c r="C252" s="4" t="s">
        <v>329</v>
      </c>
      <c r="D252" s="4" t="s">
        <v>330</v>
      </c>
      <c r="E252" s="4"/>
      <c r="F252" s="4"/>
    </row>
    <row r="253" spans="1:6" x14ac:dyDescent="0.2">
      <c r="A253" s="23" t="s">
        <v>276</v>
      </c>
      <c r="B253" s="4"/>
      <c r="C253" s="4"/>
      <c r="D253" s="4"/>
      <c r="E253" s="4"/>
      <c r="F253" s="4"/>
    </row>
    <row r="254" spans="1:6" x14ac:dyDescent="0.2">
      <c r="A254" s="23" t="s">
        <v>276</v>
      </c>
      <c r="B254" s="4"/>
      <c r="C254" s="4"/>
      <c r="D254" s="4"/>
      <c r="E254" s="4"/>
      <c r="F254" s="4"/>
    </row>
    <row r="255" spans="1:6" x14ac:dyDescent="0.2">
      <c r="A255" s="23" t="s">
        <v>276</v>
      </c>
      <c r="B255" s="4"/>
      <c r="C255" s="4"/>
      <c r="D255" s="4"/>
      <c r="E255" s="4"/>
      <c r="F255" s="4"/>
    </row>
    <row r="256" spans="1:6" x14ac:dyDescent="0.2">
      <c r="A256" s="23" t="s">
        <v>276</v>
      </c>
      <c r="B256" s="4"/>
      <c r="C256" s="4"/>
      <c r="D256" s="4"/>
      <c r="E256" s="4"/>
      <c r="F256" s="4"/>
    </row>
    <row r="257" spans="1:6" x14ac:dyDescent="0.2">
      <c r="A257" s="23" t="s">
        <v>276</v>
      </c>
      <c r="B257" s="4"/>
      <c r="C257" s="4"/>
      <c r="D257" s="4"/>
      <c r="E257" s="4"/>
      <c r="F257" s="4"/>
    </row>
    <row r="258" spans="1:6" x14ac:dyDescent="0.2">
      <c r="A258" s="23" t="s">
        <v>276</v>
      </c>
      <c r="B258" s="4"/>
      <c r="C258" s="4"/>
      <c r="D258" s="4"/>
      <c r="E258" s="4"/>
      <c r="F258" s="4"/>
    </row>
    <row r="259" spans="1:6" x14ac:dyDescent="0.2">
      <c r="A259" s="23" t="s">
        <v>276</v>
      </c>
      <c r="B259" s="4"/>
      <c r="C259" s="4"/>
      <c r="D259" s="4"/>
      <c r="E259" s="4"/>
      <c r="F259" s="4"/>
    </row>
    <row r="260" spans="1:6" x14ac:dyDescent="0.2">
      <c r="A260" s="23"/>
      <c r="B260" s="4"/>
      <c r="C260" s="4"/>
      <c r="D260" s="4"/>
      <c r="E260" s="4"/>
      <c r="F260" s="4"/>
    </row>
    <row r="261" spans="1:6" x14ac:dyDescent="0.2">
      <c r="A261" s="23"/>
      <c r="B261" s="4"/>
      <c r="C261" s="4"/>
      <c r="D261" s="4"/>
      <c r="E261" s="4"/>
      <c r="F261" s="4"/>
    </row>
    <row r="262" spans="1:6" x14ac:dyDescent="0.2">
      <c r="A262" s="23"/>
      <c r="B262" s="4"/>
      <c r="C262" s="4"/>
      <c r="D262" s="4"/>
      <c r="E262" s="4"/>
      <c r="F262" s="4"/>
    </row>
    <row r="263" spans="1:6" x14ac:dyDescent="0.2">
      <c r="A263" s="23"/>
      <c r="B263" s="4"/>
      <c r="C263" s="4"/>
      <c r="D263" s="4"/>
      <c r="E263" s="4"/>
      <c r="F263" s="4"/>
    </row>
    <row r="264" spans="1:6" x14ac:dyDescent="0.2">
      <c r="A264" s="23"/>
      <c r="B264" s="4"/>
      <c r="C264" s="4"/>
      <c r="D264" s="4"/>
      <c r="E264" s="4"/>
      <c r="F264" s="4"/>
    </row>
    <row r="265" spans="1:6" x14ac:dyDescent="0.2">
      <c r="A265" s="23"/>
      <c r="B265" s="4"/>
      <c r="C265" s="4"/>
      <c r="D265" s="4"/>
      <c r="E265" s="4"/>
      <c r="F265" s="4"/>
    </row>
    <row r="266" spans="1:6" x14ac:dyDescent="0.2">
      <c r="A266" s="23"/>
      <c r="B266" s="4"/>
      <c r="C266" s="4"/>
      <c r="D266" s="4"/>
      <c r="E266" s="4"/>
      <c r="F266" s="4"/>
    </row>
    <row r="267" spans="1:6" x14ac:dyDescent="0.2">
      <c r="A267" s="23"/>
      <c r="B267" s="4"/>
      <c r="C267" s="4"/>
      <c r="D267" s="4"/>
      <c r="E267" s="4"/>
      <c r="F267" s="4"/>
    </row>
    <row r="268" spans="1:6" x14ac:dyDescent="0.2">
      <c r="A268" s="23"/>
      <c r="B268" s="4"/>
      <c r="C268" s="4"/>
      <c r="D268" s="4"/>
      <c r="E268" s="4"/>
      <c r="F268" s="4"/>
    </row>
    <row r="269" spans="1:6" x14ac:dyDescent="0.2">
      <c r="A269" s="23"/>
      <c r="B269" s="4"/>
      <c r="C269" s="4"/>
      <c r="D269" s="4"/>
      <c r="E269" s="4"/>
      <c r="F269" s="4"/>
    </row>
    <row r="270" spans="1:6" x14ac:dyDescent="0.2">
      <c r="A270" s="23"/>
      <c r="B270" s="4"/>
      <c r="C270" s="4"/>
      <c r="D270" s="4"/>
      <c r="E270" s="4"/>
      <c r="F270" s="4"/>
    </row>
    <row r="271" spans="1:6" x14ac:dyDescent="0.2">
      <c r="A271" s="23"/>
      <c r="B271" s="4"/>
      <c r="C271" s="4"/>
      <c r="D271" s="4"/>
      <c r="E271" s="4"/>
      <c r="F271" s="4"/>
    </row>
    <row r="272" spans="1:6" x14ac:dyDescent="0.2">
      <c r="A272" s="23"/>
      <c r="B272" s="4"/>
      <c r="C272" s="4"/>
      <c r="D272" s="4"/>
      <c r="E272" s="4"/>
      <c r="F272" s="4"/>
    </row>
    <row r="273" spans="1:6" x14ac:dyDescent="0.2">
      <c r="A273" s="23"/>
      <c r="B273" s="4"/>
      <c r="C273" s="4"/>
      <c r="D273" s="4"/>
      <c r="E273" s="4"/>
      <c r="F273" s="4"/>
    </row>
    <row r="274" spans="1:6" x14ac:dyDescent="0.2">
      <c r="A274" s="23"/>
      <c r="B274" s="4"/>
      <c r="C274" s="4"/>
      <c r="D274" s="4"/>
      <c r="E274" s="4"/>
      <c r="F274" s="4"/>
    </row>
    <row r="275" spans="1:6" x14ac:dyDescent="0.2">
      <c r="A275" s="23"/>
      <c r="B275" s="4"/>
      <c r="C275" s="4"/>
      <c r="D275" s="4"/>
      <c r="E275" s="4"/>
      <c r="F275" s="4"/>
    </row>
    <row r="276" spans="1:6" x14ac:dyDescent="0.2">
      <c r="A276" s="23"/>
      <c r="B276" s="4"/>
      <c r="C276" s="4"/>
      <c r="D276" s="4"/>
      <c r="E276" s="4"/>
      <c r="F276" s="4"/>
    </row>
    <row r="277" spans="1:6" x14ac:dyDescent="0.2">
      <c r="A277" s="23"/>
      <c r="B277" s="4"/>
      <c r="C277" s="4"/>
      <c r="D277" s="4"/>
      <c r="E277" s="4"/>
      <c r="F277" s="4"/>
    </row>
    <row r="278" spans="1:6" x14ac:dyDescent="0.2">
      <c r="A278" s="23"/>
      <c r="B278" s="4"/>
      <c r="C278" s="4"/>
      <c r="D278" s="4"/>
      <c r="E278" s="4"/>
      <c r="F278" s="4"/>
    </row>
    <row r="279" spans="1:6" x14ac:dyDescent="0.2">
      <c r="A279" s="23"/>
      <c r="B279" s="4"/>
      <c r="C279" s="4"/>
      <c r="D279" s="4"/>
      <c r="E279" s="4"/>
      <c r="F279" s="4"/>
    </row>
    <row r="280" spans="1:6" x14ac:dyDescent="0.2">
      <c r="A280" s="23"/>
      <c r="B280" s="4"/>
      <c r="C280" s="4"/>
      <c r="D280" s="4"/>
      <c r="E280" s="4"/>
      <c r="F280" s="4"/>
    </row>
    <row r="281" spans="1:6" x14ac:dyDescent="0.2">
      <c r="A281" s="23"/>
      <c r="B281" s="4"/>
      <c r="C281" s="4"/>
      <c r="D281" s="4"/>
      <c r="E281" s="4"/>
      <c r="F281" s="4"/>
    </row>
    <row r="282" spans="1:6" x14ac:dyDescent="0.2">
      <c r="A282" s="23"/>
      <c r="B282" s="4"/>
      <c r="C282" s="4"/>
      <c r="D282" s="4"/>
      <c r="E282" s="4"/>
      <c r="F282" s="4"/>
    </row>
    <row r="283" spans="1:6" x14ac:dyDescent="0.2">
      <c r="A283" s="23"/>
      <c r="B283" s="4"/>
      <c r="C283" s="4"/>
      <c r="D283" s="4"/>
      <c r="E283" s="4"/>
      <c r="F283" s="4"/>
    </row>
    <row r="284" spans="1:6" x14ac:dyDescent="0.2">
      <c r="A284" s="23"/>
      <c r="B284" s="4"/>
      <c r="C284" s="4"/>
      <c r="D284" s="4"/>
      <c r="E284" s="4"/>
      <c r="F284" s="4"/>
    </row>
    <row r="285" spans="1:6" x14ac:dyDescent="0.2">
      <c r="A285" s="23"/>
      <c r="B285" s="4"/>
      <c r="C285" s="4"/>
      <c r="D285" s="4"/>
      <c r="E285" s="4"/>
      <c r="F285" s="4"/>
    </row>
    <row r="286" spans="1:6" x14ac:dyDescent="0.2">
      <c r="A286" s="23"/>
      <c r="B286" s="4"/>
      <c r="C286" s="4"/>
      <c r="D286" s="4"/>
      <c r="E286" s="4"/>
      <c r="F286" s="4"/>
    </row>
    <row r="287" spans="1:6" x14ac:dyDescent="0.2">
      <c r="A287" s="23"/>
      <c r="B287" s="4"/>
      <c r="C287" s="4"/>
      <c r="D287" s="4"/>
      <c r="E287" s="4"/>
      <c r="F287" s="4"/>
    </row>
    <row r="288" spans="1:6" x14ac:dyDescent="0.2">
      <c r="A288" s="23"/>
      <c r="B288" s="4"/>
      <c r="C288" s="4"/>
      <c r="D288" s="4"/>
      <c r="E288" s="4"/>
      <c r="F288" s="4"/>
    </row>
    <row r="289" spans="1:6" x14ac:dyDescent="0.2">
      <c r="A289" s="23"/>
      <c r="B289" s="4"/>
      <c r="C289" s="4"/>
      <c r="D289" s="4"/>
      <c r="E289" s="4"/>
      <c r="F289" s="4"/>
    </row>
    <row r="290" spans="1:6" x14ac:dyDescent="0.2">
      <c r="A290" s="23"/>
      <c r="B290" s="4"/>
      <c r="C290" s="4"/>
      <c r="D290" s="4"/>
      <c r="E290" s="4"/>
      <c r="F290" s="4"/>
    </row>
    <row r="291" spans="1:6" x14ac:dyDescent="0.2">
      <c r="A291" s="23"/>
      <c r="B291" s="4"/>
      <c r="C291" s="4"/>
      <c r="D291" s="4"/>
      <c r="E291" s="4"/>
      <c r="F291" s="4"/>
    </row>
    <row r="292" spans="1:6" x14ac:dyDescent="0.2">
      <c r="A292" s="23"/>
      <c r="B292" s="4"/>
      <c r="C292" s="4"/>
      <c r="D292" s="4"/>
      <c r="E292" s="4"/>
      <c r="F292" s="4"/>
    </row>
    <row r="293" spans="1:6" x14ac:dyDescent="0.2">
      <c r="A293" s="23"/>
      <c r="B293" s="4"/>
      <c r="C293" s="4"/>
      <c r="D293" s="4"/>
      <c r="E293" s="4"/>
      <c r="F293" s="4"/>
    </row>
    <row r="294" spans="1:6" x14ac:dyDescent="0.2">
      <c r="A294" s="23"/>
      <c r="B294" s="4"/>
      <c r="C294" s="4"/>
      <c r="D294" s="4"/>
      <c r="E294" s="4"/>
      <c r="F294" s="4"/>
    </row>
    <row r="295" spans="1:6" x14ac:dyDescent="0.2">
      <c r="A295" s="23"/>
      <c r="B295" s="4"/>
      <c r="C295" s="4"/>
      <c r="D295" s="4"/>
      <c r="E295" s="4"/>
      <c r="F295" s="4"/>
    </row>
    <row r="296" spans="1:6" x14ac:dyDescent="0.2">
      <c r="A296" s="23"/>
      <c r="B296" s="4"/>
      <c r="C296" s="4"/>
      <c r="D296" s="4"/>
      <c r="E296" s="4"/>
      <c r="F296" s="4"/>
    </row>
    <row r="297" spans="1:6" x14ac:dyDescent="0.2">
      <c r="A297" s="23"/>
      <c r="B297" s="4"/>
      <c r="C297" s="4"/>
      <c r="D297" s="4"/>
      <c r="E297" s="4"/>
      <c r="F297" s="4"/>
    </row>
    <row r="298" spans="1:6" x14ac:dyDescent="0.2">
      <c r="A298" s="23"/>
      <c r="B298" s="4"/>
      <c r="C298" s="4"/>
      <c r="D298" s="4"/>
      <c r="E298" s="4"/>
      <c r="F298" s="4"/>
    </row>
    <row r="299" spans="1:6" x14ac:dyDescent="0.2">
      <c r="A299" s="23"/>
      <c r="B299" s="4"/>
      <c r="C299" s="4"/>
      <c r="D299" s="4"/>
      <c r="E299" s="4"/>
      <c r="F299" s="4"/>
    </row>
    <row r="300" spans="1:6" x14ac:dyDescent="0.2">
      <c r="A300" s="23"/>
      <c r="B300" s="4"/>
      <c r="C300" s="4"/>
      <c r="D300" s="4"/>
      <c r="E300" s="4"/>
      <c r="F300" s="4"/>
    </row>
    <row r="301" spans="1:6" x14ac:dyDescent="0.2">
      <c r="A301" s="23"/>
      <c r="B301" s="4"/>
      <c r="C301" s="4"/>
      <c r="D301" s="4"/>
      <c r="E301" s="4"/>
      <c r="F301" s="4"/>
    </row>
    <row r="302" spans="1:6" x14ac:dyDescent="0.2">
      <c r="A302" s="23"/>
      <c r="B302" s="4"/>
      <c r="C302" s="4"/>
      <c r="D302" s="4"/>
      <c r="E302" s="4"/>
      <c r="F302" s="4"/>
    </row>
    <row r="303" spans="1:6" x14ac:dyDescent="0.2">
      <c r="A303" s="23"/>
      <c r="B303" s="4"/>
      <c r="C303" s="4"/>
      <c r="D303" s="4"/>
      <c r="E303" s="4"/>
      <c r="F303" s="4"/>
    </row>
    <row r="304" spans="1:6" x14ac:dyDescent="0.2">
      <c r="A304" s="23"/>
      <c r="B304" s="4"/>
      <c r="C304" s="4"/>
      <c r="D304" s="4"/>
      <c r="E304" s="4"/>
      <c r="F304" s="4"/>
    </row>
    <row r="305" spans="1:6" x14ac:dyDescent="0.2">
      <c r="A305" s="23"/>
      <c r="B305" s="4"/>
      <c r="C305" s="4"/>
      <c r="D305" s="4"/>
      <c r="E305" s="4"/>
      <c r="F305" s="4"/>
    </row>
    <row r="306" spans="1:6" x14ac:dyDescent="0.2">
      <c r="A306" s="23"/>
      <c r="B306" s="4"/>
      <c r="C306" s="4"/>
      <c r="D306" s="4"/>
      <c r="E306" s="4"/>
      <c r="F306" s="4"/>
    </row>
    <row r="307" spans="1:6" x14ac:dyDescent="0.2">
      <c r="A307" s="23"/>
      <c r="B307" s="4"/>
      <c r="C307" s="4"/>
      <c r="D307" s="4"/>
      <c r="E307" s="4"/>
      <c r="F307" s="4"/>
    </row>
    <row r="308" spans="1:6" x14ac:dyDescent="0.2">
      <c r="A308" s="23"/>
      <c r="B308" s="4"/>
      <c r="C308" s="4"/>
      <c r="D308" s="4"/>
      <c r="E308" s="4"/>
      <c r="F308" s="4"/>
    </row>
    <row r="309" spans="1:6" x14ac:dyDescent="0.2">
      <c r="A309" s="23"/>
      <c r="B309" s="4"/>
      <c r="C309" s="4"/>
      <c r="D309" s="4"/>
      <c r="E309" s="4"/>
      <c r="F309" s="4"/>
    </row>
    <row r="310" spans="1:6" x14ac:dyDescent="0.2">
      <c r="A310" s="23"/>
      <c r="B310" s="4"/>
      <c r="C310" s="4"/>
      <c r="D310" s="4"/>
      <c r="E310" s="4"/>
      <c r="F310" s="4"/>
    </row>
    <row r="311" spans="1:6" x14ac:dyDescent="0.2">
      <c r="A311" s="23"/>
      <c r="B311" s="4"/>
      <c r="C311" s="4"/>
      <c r="D311" s="4"/>
      <c r="E311" s="4"/>
      <c r="F311" s="4"/>
    </row>
    <row r="312" spans="1:6" x14ac:dyDescent="0.2">
      <c r="A312" s="23"/>
      <c r="B312" s="4"/>
      <c r="C312" s="4"/>
      <c r="D312" s="4"/>
      <c r="E312" s="4"/>
      <c r="F312" s="4"/>
    </row>
    <row r="313" spans="1:6" x14ac:dyDescent="0.2">
      <c r="A313" s="23"/>
      <c r="B313" s="4"/>
      <c r="C313" s="4"/>
      <c r="D313" s="4"/>
      <c r="E313" s="4"/>
      <c r="F313" s="4"/>
    </row>
    <row r="314" spans="1:6" x14ac:dyDescent="0.2">
      <c r="A314" s="23"/>
      <c r="B314" s="4"/>
      <c r="C314" s="4"/>
      <c r="D314" s="4"/>
      <c r="E314" s="4"/>
      <c r="F314" s="4"/>
    </row>
    <row r="315" spans="1:6" x14ac:dyDescent="0.2">
      <c r="A315" s="23"/>
      <c r="B315" s="4"/>
      <c r="C315" s="4"/>
      <c r="D315" s="4"/>
      <c r="E315" s="4"/>
      <c r="F315" s="4"/>
    </row>
    <row r="316" spans="1:6" x14ac:dyDescent="0.2">
      <c r="A316" s="23"/>
      <c r="B316" s="4"/>
      <c r="C316" s="4"/>
      <c r="D316" s="4"/>
      <c r="E316" s="4"/>
      <c r="F316" s="4"/>
    </row>
    <row r="317" spans="1:6" x14ac:dyDescent="0.2">
      <c r="A317" s="23"/>
      <c r="B317" s="4"/>
      <c r="C317" s="4"/>
      <c r="D317" s="4"/>
      <c r="E317" s="4"/>
      <c r="F317" s="4"/>
    </row>
    <row r="318" spans="1:6" x14ac:dyDescent="0.2">
      <c r="A318" s="23"/>
      <c r="B318" s="4"/>
      <c r="C318" s="4"/>
      <c r="D318" s="4"/>
      <c r="E318" s="4"/>
      <c r="F318" s="4"/>
    </row>
    <row r="319" spans="1:6" x14ac:dyDescent="0.2">
      <c r="A319" s="23"/>
      <c r="B319" s="4"/>
      <c r="C319" s="4"/>
      <c r="D319" s="4"/>
      <c r="E319" s="4"/>
      <c r="F319" s="4"/>
    </row>
    <row r="320" spans="1:6" x14ac:dyDescent="0.2">
      <c r="A320" s="23"/>
      <c r="B320" s="4"/>
      <c r="C320" s="4"/>
      <c r="D320" s="4"/>
      <c r="E320" s="4"/>
      <c r="F320" s="4"/>
    </row>
    <row r="321" spans="1:6" x14ac:dyDescent="0.2">
      <c r="A321" s="23"/>
      <c r="B321" s="4"/>
      <c r="C321" s="4"/>
      <c r="D321" s="4"/>
      <c r="E321" s="4"/>
      <c r="F321" s="4"/>
    </row>
    <row r="322" spans="1:6" x14ac:dyDescent="0.2">
      <c r="A322" s="23"/>
      <c r="B322" s="4"/>
      <c r="C322" s="4"/>
      <c r="D322" s="4"/>
      <c r="E322" s="4"/>
      <c r="F322" s="4"/>
    </row>
    <row r="323" spans="1:6" x14ac:dyDescent="0.2">
      <c r="A323" s="23"/>
      <c r="B323" s="4"/>
      <c r="C323" s="4"/>
      <c r="D323" s="4"/>
      <c r="E323" s="4"/>
      <c r="F323" s="4"/>
    </row>
    <row r="324" spans="1:6" x14ac:dyDescent="0.2">
      <c r="A324" s="23"/>
      <c r="B324" s="4"/>
      <c r="C324" s="4"/>
      <c r="D324" s="4"/>
      <c r="E324" s="4"/>
      <c r="F324" s="4"/>
    </row>
    <row r="325" spans="1:6" x14ac:dyDescent="0.2">
      <c r="A325" s="23"/>
      <c r="B325" s="4"/>
      <c r="C325" s="4"/>
      <c r="D325" s="4"/>
      <c r="E325" s="4"/>
      <c r="F325" s="4"/>
    </row>
    <row r="326" spans="1:6" x14ac:dyDescent="0.2">
      <c r="A326" s="23"/>
      <c r="B326" s="4"/>
      <c r="C326" s="4"/>
      <c r="D326" s="4"/>
      <c r="E326" s="4"/>
      <c r="F326" s="4"/>
    </row>
    <row r="327" spans="1:6" x14ac:dyDescent="0.2">
      <c r="A327" s="23"/>
      <c r="B327" s="4"/>
      <c r="C327" s="4"/>
      <c r="D327" s="4"/>
      <c r="E327" s="4"/>
      <c r="F327" s="4"/>
    </row>
    <row r="328" spans="1:6" x14ac:dyDescent="0.2">
      <c r="A328" s="23"/>
      <c r="B328" s="4"/>
      <c r="C328" s="4"/>
      <c r="D328" s="4"/>
      <c r="E328" s="4"/>
      <c r="F328" s="4"/>
    </row>
    <row r="329" spans="1:6" x14ac:dyDescent="0.2">
      <c r="A329" s="23"/>
      <c r="B329" s="4"/>
      <c r="C329" s="4"/>
      <c r="D329" s="4"/>
      <c r="E329" s="4"/>
      <c r="F329" s="4"/>
    </row>
    <row r="330" spans="1:6" x14ac:dyDescent="0.2">
      <c r="A330" s="23"/>
      <c r="B330" s="4"/>
      <c r="C330" s="4"/>
      <c r="D330" s="4"/>
      <c r="E330" s="4"/>
      <c r="F330" s="4"/>
    </row>
    <row r="331" spans="1:6" x14ac:dyDescent="0.2">
      <c r="A331" s="23"/>
      <c r="B331" s="4"/>
      <c r="C331" s="4"/>
      <c r="D331" s="4"/>
      <c r="E331" s="4"/>
      <c r="F331" s="4"/>
    </row>
    <row r="332" spans="1:6" x14ac:dyDescent="0.2">
      <c r="A332" s="23"/>
      <c r="B332" s="4"/>
      <c r="C332" s="4"/>
      <c r="D332" s="4"/>
      <c r="E332" s="4"/>
      <c r="F332" s="4"/>
    </row>
    <row r="333" spans="1:6" x14ac:dyDescent="0.2">
      <c r="A333" s="23"/>
      <c r="B333" s="4"/>
      <c r="C333" s="4"/>
      <c r="D333" s="4"/>
      <c r="E333" s="4"/>
      <c r="F333" s="4"/>
    </row>
    <row r="334" spans="1:6" x14ac:dyDescent="0.2">
      <c r="A334" s="23"/>
      <c r="B334" s="4"/>
      <c r="C334" s="4"/>
      <c r="D334" s="4"/>
      <c r="E334" s="4"/>
      <c r="F334" s="4"/>
    </row>
    <row r="335" spans="1:6" x14ac:dyDescent="0.2">
      <c r="A335" s="23"/>
      <c r="B335" s="4"/>
      <c r="C335" s="4"/>
      <c r="D335" s="4"/>
      <c r="E335" s="4"/>
      <c r="F335" s="4"/>
    </row>
    <row r="336" spans="1:6" x14ac:dyDescent="0.2">
      <c r="A336" s="23"/>
      <c r="B336" s="4"/>
      <c r="C336" s="4"/>
      <c r="D336" s="4"/>
      <c r="E336" s="4"/>
      <c r="F336" s="4"/>
    </row>
    <row r="337" spans="1:6" x14ac:dyDescent="0.2">
      <c r="A337" s="23"/>
      <c r="B337" s="4"/>
      <c r="C337" s="4"/>
      <c r="D337" s="4"/>
      <c r="E337" s="4"/>
      <c r="F337" s="4"/>
    </row>
    <row r="338" spans="1:6" x14ac:dyDescent="0.2">
      <c r="A338" s="23"/>
      <c r="B338" s="4"/>
      <c r="C338" s="4"/>
      <c r="D338" s="4"/>
      <c r="E338" s="4"/>
      <c r="F338" s="4"/>
    </row>
    <row r="339" spans="1:6" x14ac:dyDescent="0.2">
      <c r="A339" s="23"/>
      <c r="B339" s="4"/>
      <c r="C339" s="4"/>
      <c r="D339" s="4"/>
      <c r="E339" s="4"/>
      <c r="F339" s="4"/>
    </row>
    <row r="340" spans="1:6" x14ac:dyDescent="0.2">
      <c r="A340" s="23"/>
      <c r="B340" s="4"/>
      <c r="C340" s="4"/>
      <c r="D340" s="4"/>
      <c r="E340" s="4"/>
      <c r="F340" s="4"/>
    </row>
    <row r="341" spans="1:6" x14ac:dyDescent="0.2">
      <c r="A341" s="23"/>
      <c r="B341" s="4"/>
      <c r="C341" s="4"/>
      <c r="D341" s="4"/>
      <c r="E341" s="4"/>
      <c r="F341" s="4"/>
    </row>
    <row r="342" spans="1:6" x14ac:dyDescent="0.2">
      <c r="A342" s="23"/>
      <c r="B342" s="4"/>
      <c r="C342" s="4"/>
      <c r="D342" s="4"/>
      <c r="E342" s="4"/>
      <c r="F342" s="4"/>
    </row>
    <row r="343" spans="1:6" x14ac:dyDescent="0.2">
      <c r="A343" s="23"/>
      <c r="B343" s="4"/>
      <c r="C343" s="4"/>
      <c r="D343" s="4"/>
      <c r="E343" s="4"/>
      <c r="F343" s="4"/>
    </row>
    <row r="344" spans="1:6" x14ac:dyDescent="0.2">
      <c r="A344" s="23"/>
      <c r="B344" s="4"/>
      <c r="C344" s="4"/>
      <c r="D344" s="4"/>
      <c r="E344" s="4"/>
      <c r="F344" s="4"/>
    </row>
    <row r="345" spans="1:6" x14ac:dyDescent="0.2">
      <c r="A345" s="23"/>
      <c r="B345" s="4"/>
      <c r="C345" s="4"/>
      <c r="D345" s="4"/>
      <c r="E345" s="4"/>
      <c r="F345" s="4"/>
    </row>
    <row r="346" spans="1:6" x14ac:dyDescent="0.2">
      <c r="A346" s="23"/>
      <c r="B346" s="4"/>
      <c r="C346" s="4"/>
      <c r="D346" s="4"/>
      <c r="E346" s="4"/>
      <c r="F346" s="4"/>
    </row>
    <row r="347" spans="1:6" x14ac:dyDescent="0.2">
      <c r="A347" s="23"/>
      <c r="B347" s="4"/>
      <c r="C347" s="4"/>
      <c r="D347" s="4"/>
      <c r="E347" s="4"/>
      <c r="F347" s="4"/>
    </row>
    <row r="348" spans="1:6" x14ac:dyDescent="0.2">
      <c r="A348" s="23"/>
      <c r="B348" s="4"/>
      <c r="C348" s="4"/>
      <c r="D348" s="4"/>
      <c r="E348" s="4"/>
      <c r="F348" s="4"/>
    </row>
    <row r="349" spans="1:6" x14ac:dyDescent="0.2">
      <c r="A349" s="23"/>
      <c r="B349" s="4"/>
      <c r="C349" s="4"/>
      <c r="D349" s="4"/>
      <c r="E349" s="4"/>
      <c r="F349" s="4"/>
    </row>
    <row r="350" spans="1:6" x14ac:dyDescent="0.2">
      <c r="A350" s="23"/>
      <c r="B350" s="4"/>
      <c r="C350" s="4"/>
      <c r="D350" s="4"/>
      <c r="E350" s="4"/>
      <c r="F350" s="4"/>
    </row>
    <row r="351" spans="1:6" x14ac:dyDescent="0.2">
      <c r="A351" s="23"/>
      <c r="B351" s="4"/>
      <c r="C351" s="4"/>
      <c r="D351" s="4"/>
      <c r="E351" s="4"/>
      <c r="F351" s="4"/>
    </row>
    <row r="352" spans="1:6" x14ac:dyDescent="0.2">
      <c r="A352" s="23"/>
      <c r="B352" s="4"/>
      <c r="C352" s="4"/>
      <c r="D352" s="4"/>
      <c r="E352" s="4"/>
      <c r="F352" s="4"/>
    </row>
    <row r="353" spans="1:6" x14ac:dyDescent="0.2">
      <c r="A353" s="23"/>
      <c r="B353" s="4"/>
      <c r="C353" s="4"/>
      <c r="D353" s="4"/>
      <c r="E353" s="4"/>
      <c r="F353" s="4"/>
    </row>
    <row r="354" spans="1:6" x14ac:dyDescent="0.2">
      <c r="A354" s="23"/>
      <c r="B354" s="4"/>
      <c r="C354" s="4"/>
      <c r="D354" s="4"/>
      <c r="E354" s="4"/>
      <c r="F354" s="4"/>
    </row>
    <row r="355" spans="1:6" x14ac:dyDescent="0.2">
      <c r="A355" s="23"/>
      <c r="B355" s="4"/>
      <c r="C355" s="4"/>
      <c r="D355" s="4"/>
      <c r="E355" s="4"/>
      <c r="F355" s="4"/>
    </row>
    <row r="356" spans="1:6" x14ac:dyDescent="0.2">
      <c r="A356" s="23"/>
      <c r="B356" s="4"/>
      <c r="C356" s="4"/>
      <c r="D356" s="4"/>
      <c r="E356" s="4"/>
      <c r="F356" s="4"/>
    </row>
    <row r="357" spans="1:6" x14ac:dyDescent="0.2">
      <c r="A357" s="23"/>
      <c r="B357" s="4"/>
      <c r="C357" s="4"/>
      <c r="D357" s="4"/>
      <c r="E357" s="4"/>
      <c r="F357" s="4"/>
    </row>
    <row r="358" spans="1:6" x14ac:dyDescent="0.2">
      <c r="A358" s="23"/>
      <c r="B358" s="4"/>
      <c r="C358" s="4"/>
      <c r="D358" s="4"/>
      <c r="E358" s="4"/>
      <c r="F358" s="4"/>
    </row>
    <row r="359" spans="1:6" x14ac:dyDescent="0.2">
      <c r="A359" s="23"/>
      <c r="B359" s="4"/>
      <c r="C359" s="4"/>
      <c r="D359" s="4"/>
      <c r="E359" s="4"/>
      <c r="F359" s="4"/>
    </row>
    <row r="360" spans="1:6" x14ac:dyDescent="0.2">
      <c r="A360" s="23"/>
      <c r="B360" s="4"/>
      <c r="C360" s="4"/>
      <c r="D360" s="4"/>
      <c r="E360" s="4"/>
      <c r="F360" s="4"/>
    </row>
    <row r="361" spans="1:6" x14ac:dyDescent="0.2">
      <c r="A361" s="23"/>
      <c r="B361" s="4"/>
      <c r="C361" s="4"/>
      <c r="D361" s="4"/>
      <c r="E361" s="4"/>
      <c r="F361" s="4"/>
    </row>
    <row r="362" spans="1:6" x14ac:dyDescent="0.2">
      <c r="A362" s="23"/>
      <c r="B362" s="4"/>
      <c r="C362" s="4"/>
      <c r="D362" s="4"/>
      <c r="E362" s="4"/>
      <c r="F362" s="4"/>
    </row>
    <row r="363" spans="1:6" x14ac:dyDescent="0.2">
      <c r="A363" s="23"/>
      <c r="B363" s="4"/>
      <c r="C363" s="4"/>
      <c r="D363" s="4"/>
      <c r="E363" s="4"/>
      <c r="F363" s="4"/>
    </row>
    <row r="364" spans="1:6" x14ac:dyDescent="0.2">
      <c r="A364" s="4"/>
      <c r="B364" s="4"/>
      <c r="C364" s="4"/>
      <c r="D364" s="4"/>
      <c r="E364" s="4"/>
      <c r="F364" s="4"/>
    </row>
    <row r="365" spans="1:6" x14ac:dyDescent="0.2">
      <c r="A365" s="4"/>
      <c r="B365" s="4"/>
      <c r="C365" s="4"/>
      <c r="D365" s="4"/>
      <c r="E365" s="4"/>
      <c r="F365" s="4"/>
    </row>
    <row r="366" spans="1:6" x14ac:dyDescent="0.2">
      <c r="A366" s="4"/>
      <c r="B366" s="4"/>
      <c r="C366" s="4"/>
      <c r="D366" s="4"/>
      <c r="E366" s="4"/>
      <c r="F366" s="4"/>
    </row>
    <row r="367" spans="1:6" x14ac:dyDescent="0.2">
      <c r="A367" s="4"/>
      <c r="B367" s="4"/>
      <c r="C367" s="4"/>
      <c r="D367" s="4"/>
      <c r="E367" s="4"/>
      <c r="F367" s="4"/>
    </row>
    <row r="368" spans="1:6" x14ac:dyDescent="0.2">
      <c r="A368" s="4"/>
      <c r="B368" s="4"/>
      <c r="C368" s="4"/>
      <c r="D368" s="4"/>
      <c r="E368" s="4"/>
      <c r="F368" s="4"/>
    </row>
    <row r="369" spans="1:6" x14ac:dyDescent="0.2">
      <c r="A369" s="4"/>
      <c r="B369" s="4"/>
      <c r="C369" s="4"/>
      <c r="D369" s="4"/>
      <c r="E369" s="4"/>
      <c r="F369" s="4"/>
    </row>
    <row r="370" spans="1:6" x14ac:dyDescent="0.2">
      <c r="A370" s="4"/>
      <c r="B370" s="4"/>
      <c r="C370" s="4"/>
      <c r="D370" s="4"/>
      <c r="E370" s="4"/>
      <c r="F370" s="4"/>
    </row>
    <row r="371" spans="1:6" x14ac:dyDescent="0.2">
      <c r="A371" s="4"/>
      <c r="B371" s="4"/>
      <c r="C371" s="4"/>
      <c r="D371" s="4"/>
      <c r="E371" s="4"/>
      <c r="F371" s="4"/>
    </row>
    <row r="372" spans="1:6" x14ac:dyDescent="0.2">
      <c r="A372" s="4"/>
      <c r="B372" s="4"/>
      <c r="C372" s="4"/>
      <c r="D372" s="4"/>
      <c r="E372" s="4"/>
      <c r="F372" s="4"/>
    </row>
    <row r="373" spans="1:6" x14ac:dyDescent="0.2">
      <c r="A373" s="4"/>
      <c r="B373" s="4"/>
      <c r="C373" s="4"/>
      <c r="D373" s="4"/>
      <c r="E373" s="4"/>
      <c r="F373" s="4"/>
    </row>
    <row r="374" spans="1:6" x14ac:dyDescent="0.2">
      <c r="A374" s="4"/>
      <c r="B374" s="4"/>
      <c r="C374" s="4"/>
      <c r="D374" s="4"/>
      <c r="E374" s="4"/>
      <c r="F374" s="4"/>
    </row>
    <row r="375" spans="1:6" x14ac:dyDescent="0.2">
      <c r="A375" s="4"/>
      <c r="B375" s="4"/>
      <c r="C375" s="4"/>
      <c r="D375" s="4"/>
      <c r="E375" s="4"/>
      <c r="F375" s="4"/>
    </row>
    <row r="376" spans="1:6" x14ac:dyDescent="0.2">
      <c r="A376" s="4"/>
      <c r="B376" s="4"/>
      <c r="C376" s="4"/>
      <c r="D376" s="4"/>
      <c r="E376" s="4"/>
      <c r="F376" s="4"/>
    </row>
    <row r="377" spans="1:6" x14ac:dyDescent="0.2">
      <c r="A377" s="4"/>
      <c r="B377" s="4"/>
      <c r="C377" s="4"/>
      <c r="D377" s="4"/>
      <c r="E377" s="4"/>
      <c r="F377" s="4"/>
    </row>
    <row r="378" spans="1:6" x14ac:dyDescent="0.2">
      <c r="A378" s="4"/>
      <c r="B378" s="4"/>
      <c r="C378" s="4"/>
      <c r="D378" s="4"/>
      <c r="E378" s="4"/>
      <c r="F378" s="4"/>
    </row>
    <row r="379" spans="1:6" x14ac:dyDescent="0.2">
      <c r="A379" s="4"/>
      <c r="B379" s="4"/>
      <c r="C379" s="4"/>
      <c r="D379" s="4"/>
      <c r="E379" s="4"/>
      <c r="F379" s="4"/>
    </row>
    <row r="380" spans="1:6" x14ac:dyDescent="0.2">
      <c r="A380" s="4"/>
      <c r="B380" s="4"/>
      <c r="C380" s="4"/>
      <c r="D380" s="4"/>
      <c r="E380" s="4"/>
      <c r="F380" s="4"/>
    </row>
    <row r="381" spans="1:6" x14ac:dyDescent="0.2">
      <c r="A381" s="4"/>
      <c r="B381" s="4"/>
      <c r="C381" s="4"/>
      <c r="D381" s="4"/>
      <c r="E381" s="4"/>
      <c r="F381" s="4"/>
    </row>
    <row r="382" spans="1:6" x14ac:dyDescent="0.2">
      <c r="A382" s="4"/>
      <c r="B382" s="4"/>
      <c r="C382" s="4"/>
      <c r="D382" s="4"/>
      <c r="E382" s="4"/>
      <c r="F382" s="4"/>
    </row>
    <row r="383" spans="1:6" x14ac:dyDescent="0.2">
      <c r="A383" s="4"/>
      <c r="B383" s="4"/>
      <c r="C383" s="4"/>
      <c r="D383" s="4"/>
      <c r="E383" s="4"/>
      <c r="F383" s="4"/>
    </row>
    <row r="384" spans="1:6" x14ac:dyDescent="0.2">
      <c r="A384" s="4"/>
      <c r="B384" s="4"/>
      <c r="C384" s="4"/>
      <c r="D384" s="4"/>
      <c r="E384" s="4"/>
      <c r="F384" s="4"/>
    </row>
    <row r="385" spans="1:6" x14ac:dyDescent="0.2">
      <c r="A385" s="4"/>
      <c r="B385" s="4"/>
      <c r="C385" s="4"/>
      <c r="D385" s="4"/>
      <c r="E385" s="4"/>
      <c r="F385" s="4"/>
    </row>
    <row r="386" spans="1:6" x14ac:dyDescent="0.2">
      <c r="A386" s="4"/>
      <c r="B386" s="4"/>
      <c r="C386" s="4"/>
      <c r="D386" s="4"/>
      <c r="E386" s="4"/>
      <c r="F386" s="4"/>
    </row>
    <row r="387" spans="1:6" x14ac:dyDescent="0.2">
      <c r="A387" s="4"/>
      <c r="B387" s="4"/>
      <c r="C387" s="4"/>
      <c r="D387" s="4"/>
      <c r="E387" s="4"/>
      <c r="F387" s="4"/>
    </row>
    <row r="388" spans="1:6" x14ac:dyDescent="0.2">
      <c r="A388" s="4"/>
      <c r="B388" s="4"/>
      <c r="C388" s="4"/>
      <c r="D388" s="4"/>
      <c r="E388" s="4"/>
      <c r="F388" s="4"/>
    </row>
    <row r="389" spans="1:6" x14ac:dyDescent="0.2">
      <c r="A389" s="4"/>
      <c r="B389" s="4"/>
      <c r="C389" s="4"/>
      <c r="D389" s="4"/>
      <c r="E389" s="4"/>
      <c r="F389" s="4"/>
    </row>
    <row r="390" spans="1:6" x14ac:dyDescent="0.2">
      <c r="A390" s="4"/>
      <c r="B390" s="4"/>
      <c r="C390" s="4"/>
      <c r="D390" s="4"/>
      <c r="E390" s="4"/>
      <c r="F390" s="4"/>
    </row>
    <row r="391" spans="1:6" x14ac:dyDescent="0.2">
      <c r="A391" s="4"/>
      <c r="B391" s="4"/>
      <c r="C391" s="4"/>
      <c r="D391" s="4"/>
      <c r="E391" s="4"/>
      <c r="F391" s="4"/>
    </row>
    <row r="392" spans="1:6" x14ac:dyDescent="0.2">
      <c r="A392" s="4"/>
      <c r="B392" s="4"/>
      <c r="C392" s="4"/>
      <c r="D392" s="4"/>
      <c r="E392" s="4"/>
      <c r="F392" s="4"/>
    </row>
    <row r="393" spans="1:6" x14ac:dyDescent="0.2">
      <c r="A393" s="4"/>
      <c r="B393" s="4"/>
      <c r="C393" s="4"/>
      <c r="D393" s="4"/>
      <c r="E393" s="4"/>
      <c r="F393" s="4"/>
    </row>
    <row r="394" spans="1:6" x14ac:dyDescent="0.2">
      <c r="A394" s="4"/>
      <c r="B394" s="4"/>
      <c r="C394" s="4"/>
      <c r="D394" s="4"/>
      <c r="E394" s="4"/>
      <c r="F394" s="4"/>
    </row>
    <row r="395" spans="1:6" x14ac:dyDescent="0.2">
      <c r="A395" s="4"/>
      <c r="B395" s="4"/>
      <c r="C395" s="4"/>
      <c r="D395" s="4"/>
      <c r="E395" s="4"/>
      <c r="F395" s="4"/>
    </row>
    <row r="396" spans="1:6" x14ac:dyDescent="0.2">
      <c r="A396" s="4"/>
      <c r="B396" s="4"/>
      <c r="C396" s="4"/>
      <c r="D396" s="4"/>
      <c r="E396" s="4"/>
      <c r="F396" s="4"/>
    </row>
    <row r="397" spans="1:6" x14ac:dyDescent="0.2">
      <c r="A397" s="4"/>
      <c r="B397" s="4"/>
      <c r="C397" s="4"/>
      <c r="D397" s="4"/>
      <c r="E397" s="4"/>
      <c r="F397" s="4"/>
    </row>
    <row r="398" spans="1:6" x14ac:dyDescent="0.2">
      <c r="A398" s="4"/>
      <c r="B398" s="4"/>
      <c r="C398" s="4"/>
      <c r="D398" s="4"/>
      <c r="E398" s="4"/>
      <c r="F398" s="4"/>
    </row>
    <row r="399" spans="1:6" x14ac:dyDescent="0.2">
      <c r="A399" s="4"/>
      <c r="B399" s="4"/>
      <c r="C399" s="4"/>
      <c r="D399" s="4"/>
      <c r="E399" s="4"/>
      <c r="F399" s="4"/>
    </row>
    <row r="400" spans="1:6" x14ac:dyDescent="0.2">
      <c r="A400" s="4"/>
      <c r="B400" s="4"/>
      <c r="C400" s="4"/>
      <c r="D400" s="4"/>
      <c r="E400" s="4"/>
      <c r="F400" s="4"/>
    </row>
    <row r="401" spans="1:6" x14ac:dyDescent="0.2">
      <c r="A401" s="4"/>
      <c r="B401" s="4"/>
      <c r="C401" s="4"/>
      <c r="D401" s="4"/>
      <c r="E401" s="4"/>
      <c r="F401" s="4"/>
    </row>
    <row r="402" spans="1:6" x14ac:dyDescent="0.2">
      <c r="A402" s="4"/>
      <c r="B402" s="4"/>
      <c r="C402" s="4"/>
      <c r="D402" s="4"/>
      <c r="E402" s="4"/>
      <c r="F402" s="4"/>
    </row>
    <row r="403" spans="1:6" x14ac:dyDescent="0.2">
      <c r="A403" s="4"/>
      <c r="B403" s="4"/>
      <c r="C403" s="4"/>
      <c r="D403" s="4"/>
      <c r="E403" s="4"/>
      <c r="F403" s="4"/>
    </row>
    <row r="404" spans="1:6" x14ac:dyDescent="0.2">
      <c r="A404" s="4"/>
      <c r="B404" s="4"/>
      <c r="C404" s="4"/>
      <c r="D404" s="4"/>
      <c r="E404" s="4"/>
      <c r="F404" s="4"/>
    </row>
    <row r="405" spans="1:6" x14ac:dyDescent="0.2">
      <c r="A405" s="4"/>
      <c r="B405" s="4"/>
      <c r="C405" s="4"/>
      <c r="D405" s="4"/>
      <c r="E405" s="4"/>
      <c r="F405" s="4"/>
    </row>
    <row r="406" spans="1:6" x14ac:dyDescent="0.2">
      <c r="A406" s="4"/>
      <c r="B406" s="4"/>
      <c r="C406" s="4"/>
      <c r="D406" s="4"/>
      <c r="E406" s="4"/>
      <c r="F406" s="4"/>
    </row>
    <row r="407" spans="1:6" x14ac:dyDescent="0.2">
      <c r="A407" s="4"/>
      <c r="B407" s="4"/>
      <c r="C407" s="4"/>
      <c r="D407" s="4"/>
      <c r="E407" s="4"/>
      <c r="F407" s="4"/>
    </row>
    <row r="408" spans="1:6" x14ac:dyDescent="0.2">
      <c r="A408" s="4"/>
      <c r="B408" s="4"/>
      <c r="C408" s="4"/>
      <c r="D408" s="4"/>
      <c r="E408" s="4"/>
      <c r="F408" s="4"/>
    </row>
    <row r="409" spans="1:6" x14ac:dyDescent="0.2">
      <c r="A409" s="4"/>
      <c r="B409" s="4"/>
      <c r="C409" s="4"/>
      <c r="D409" s="4"/>
      <c r="E409" s="4"/>
      <c r="F409" s="4"/>
    </row>
    <row r="410" spans="1:6" x14ac:dyDescent="0.2">
      <c r="A410" s="4"/>
      <c r="B410" s="4"/>
      <c r="C410" s="4"/>
      <c r="D410" s="4"/>
      <c r="E410" s="4"/>
      <c r="F410" s="4"/>
    </row>
    <row r="411" spans="1:6" x14ac:dyDescent="0.2">
      <c r="A411" s="4"/>
      <c r="B411" s="4"/>
      <c r="C411" s="4"/>
      <c r="D411" s="4"/>
      <c r="E411" s="4"/>
      <c r="F411" s="4"/>
    </row>
    <row r="412" spans="1:6" x14ac:dyDescent="0.2">
      <c r="A412" s="4"/>
      <c r="B412" s="4"/>
      <c r="C412" s="4"/>
      <c r="D412" s="4"/>
      <c r="E412" s="4"/>
      <c r="F412" s="4"/>
    </row>
    <row r="413" spans="1:6" x14ac:dyDescent="0.2">
      <c r="A413" s="4"/>
      <c r="B413" s="4"/>
      <c r="C413" s="4"/>
      <c r="D413" s="4"/>
      <c r="E413" s="4"/>
      <c r="F413" s="4"/>
    </row>
    <row r="414" spans="1:6" x14ac:dyDescent="0.2">
      <c r="A414" s="4"/>
      <c r="B414" s="4"/>
      <c r="C414" s="4"/>
      <c r="D414" s="4"/>
      <c r="E414" s="4"/>
      <c r="F414" s="4"/>
    </row>
    <row r="415" spans="1:6" x14ac:dyDescent="0.2">
      <c r="A415" s="4"/>
      <c r="B415" s="4"/>
      <c r="C415" s="4"/>
      <c r="D415" s="4"/>
      <c r="E415" s="4"/>
      <c r="F415" s="4"/>
    </row>
    <row r="416" spans="1:6" x14ac:dyDescent="0.2">
      <c r="A416" s="4"/>
      <c r="B416" s="4"/>
      <c r="C416" s="4"/>
      <c r="D416" s="4"/>
      <c r="E416" s="4"/>
      <c r="F416" s="4"/>
    </row>
    <row r="417" spans="1:6" x14ac:dyDescent="0.2">
      <c r="A417" s="4"/>
      <c r="B417" s="4"/>
      <c r="C417" s="4"/>
      <c r="D417" s="4"/>
      <c r="E417" s="4"/>
      <c r="F417" s="4"/>
    </row>
    <row r="418" spans="1:6" x14ac:dyDescent="0.2">
      <c r="A418" s="4"/>
      <c r="B418" s="4"/>
      <c r="C418" s="4"/>
      <c r="D418" s="4"/>
      <c r="E418" s="4"/>
      <c r="F418" s="4"/>
    </row>
    <row r="419" spans="1:6" x14ac:dyDescent="0.2">
      <c r="A419" s="4"/>
      <c r="B419" s="4"/>
      <c r="C419" s="4"/>
      <c r="D419" s="4"/>
      <c r="E419" s="4"/>
      <c r="F419" s="4"/>
    </row>
    <row r="420" spans="1:6" x14ac:dyDescent="0.2">
      <c r="A420" s="4"/>
      <c r="B420" s="4"/>
      <c r="C420" s="4"/>
      <c r="D420" s="4"/>
      <c r="E420" s="4"/>
      <c r="F420" s="4"/>
    </row>
    <row r="421" spans="1:6" x14ac:dyDescent="0.2">
      <c r="A421" s="4"/>
      <c r="B421" s="4"/>
      <c r="C421" s="4"/>
      <c r="D421" s="4"/>
      <c r="E421" s="4"/>
      <c r="F421" s="4"/>
    </row>
    <row r="422" spans="1:6" x14ac:dyDescent="0.2">
      <c r="A422" s="4"/>
      <c r="B422" s="4"/>
      <c r="C422" s="4"/>
      <c r="D422" s="4"/>
      <c r="E422" s="4"/>
      <c r="F422" s="4"/>
    </row>
    <row r="423" spans="1:6" x14ac:dyDescent="0.2">
      <c r="A423" s="4"/>
      <c r="B423" s="4"/>
      <c r="C423" s="4"/>
      <c r="D423" s="4"/>
      <c r="E423" s="4"/>
      <c r="F423" s="4"/>
    </row>
    <row r="424" spans="1:6" x14ac:dyDescent="0.2">
      <c r="A424" s="4"/>
      <c r="B424" s="4"/>
      <c r="C424" s="4"/>
      <c r="D424" s="4"/>
      <c r="E424" s="4"/>
      <c r="F424" s="4"/>
    </row>
    <row r="425" spans="1:6" x14ac:dyDescent="0.2">
      <c r="A425" s="4"/>
      <c r="B425" s="4"/>
      <c r="C425" s="4"/>
      <c r="D425" s="4"/>
      <c r="E425" s="4"/>
      <c r="F425" s="4"/>
    </row>
    <row r="426" spans="1:6" x14ac:dyDescent="0.2">
      <c r="A426" s="4"/>
      <c r="B426" s="4"/>
      <c r="C426" s="4"/>
      <c r="D426" s="4"/>
      <c r="E426" s="4"/>
      <c r="F426" s="4"/>
    </row>
    <row r="427" spans="1:6" x14ac:dyDescent="0.2">
      <c r="A427" s="4"/>
      <c r="B427" s="4"/>
      <c r="C427" s="4"/>
      <c r="D427" s="4"/>
      <c r="E427" s="4"/>
      <c r="F427" s="4"/>
    </row>
    <row r="428" spans="1:6" x14ac:dyDescent="0.2">
      <c r="A428" s="4"/>
      <c r="B428" s="4"/>
      <c r="C428" s="4"/>
      <c r="D428" s="4"/>
      <c r="E428" s="4"/>
      <c r="F428" s="4"/>
    </row>
    <row r="429" spans="1:6" x14ac:dyDescent="0.2">
      <c r="A429" s="4"/>
      <c r="B429" s="4"/>
      <c r="C429" s="4"/>
      <c r="D429" s="4"/>
      <c r="E429" s="4"/>
      <c r="F429" s="4"/>
    </row>
    <row r="430" spans="1:6" x14ac:dyDescent="0.2">
      <c r="A430" s="4"/>
      <c r="B430" s="4"/>
      <c r="C430" s="4"/>
      <c r="D430" s="4"/>
      <c r="E430" s="4"/>
      <c r="F430" s="4"/>
    </row>
    <row r="431" spans="1:6" x14ac:dyDescent="0.2">
      <c r="A431" s="4"/>
      <c r="B431" s="4"/>
      <c r="C431" s="4"/>
      <c r="D431" s="4"/>
      <c r="E431" s="4"/>
      <c r="F431" s="4"/>
    </row>
    <row r="432" spans="1:6" x14ac:dyDescent="0.2">
      <c r="A432" s="4"/>
      <c r="B432" s="4"/>
      <c r="C432" s="4"/>
      <c r="D432" s="4"/>
      <c r="E432" s="4"/>
      <c r="F432" s="4"/>
    </row>
    <row r="433" spans="1:6" x14ac:dyDescent="0.2">
      <c r="A433" s="4"/>
      <c r="B433" s="4"/>
      <c r="C433" s="4"/>
      <c r="D433" s="4"/>
      <c r="E433" s="4"/>
      <c r="F433" s="4"/>
    </row>
    <row r="434" spans="1:6" x14ac:dyDescent="0.2">
      <c r="A434" s="4"/>
      <c r="B434" s="4"/>
      <c r="C434" s="4"/>
      <c r="D434" s="4"/>
      <c r="E434" s="4"/>
      <c r="F434" s="4"/>
    </row>
    <row r="435" spans="1:6" x14ac:dyDescent="0.2">
      <c r="A435" s="4"/>
      <c r="B435" s="4"/>
      <c r="C435" s="4"/>
      <c r="D435" s="4"/>
      <c r="E435" s="4"/>
      <c r="F435" s="4"/>
    </row>
    <row r="436" spans="1:6" x14ac:dyDescent="0.2">
      <c r="A436" s="4"/>
      <c r="B436" s="4"/>
      <c r="C436" s="4"/>
      <c r="D436" s="4"/>
      <c r="E436" s="4"/>
      <c r="F436" s="4"/>
    </row>
    <row r="437" spans="1:6" x14ac:dyDescent="0.2">
      <c r="A437" s="4"/>
      <c r="B437" s="4"/>
      <c r="C437" s="4"/>
      <c r="D437" s="4"/>
      <c r="E437" s="4"/>
      <c r="F437" s="4"/>
    </row>
    <row r="438" spans="1:6" x14ac:dyDescent="0.2">
      <c r="A438" s="4"/>
      <c r="B438" s="4"/>
      <c r="C438" s="4"/>
      <c r="D438" s="4"/>
      <c r="E438" s="4"/>
      <c r="F438" s="4"/>
    </row>
    <row r="439" spans="1:6" x14ac:dyDescent="0.2">
      <c r="A439" s="4"/>
      <c r="B439" s="4"/>
      <c r="C439" s="4"/>
      <c r="D439" s="4"/>
      <c r="E439" s="4"/>
      <c r="F439" s="4"/>
    </row>
    <row r="440" spans="1:6" x14ac:dyDescent="0.2">
      <c r="A440" s="4"/>
      <c r="B440" s="4"/>
      <c r="C440" s="4"/>
      <c r="D440" s="4"/>
      <c r="E440" s="4"/>
      <c r="F440" s="4"/>
    </row>
    <row r="441" spans="1:6" x14ac:dyDescent="0.2">
      <c r="A441" s="4"/>
      <c r="B441" s="4"/>
      <c r="C441" s="4"/>
      <c r="D441" s="4"/>
      <c r="E441" s="4"/>
      <c r="F441" s="4"/>
    </row>
    <row r="442" spans="1:6" x14ac:dyDescent="0.2">
      <c r="A442" s="4"/>
      <c r="B442" s="4"/>
      <c r="C442" s="4"/>
      <c r="D442" s="4"/>
      <c r="E442" s="4"/>
      <c r="F442" s="4"/>
    </row>
    <row r="443" spans="1:6" x14ac:dyDescent="0.2">
      <c r="A443" s="4"/>
      <c r="B443" s="4"/>
      <c r="C443" s="4"/>
      <c r="D443" s="4"/>
      <c r="E443" s="4"/>
      <c r="F443" s="4"/>
    </row>
    <row r="444" spans="1:6" x14ac:dyDescent="0.2">
      <c r="A444" s="4"/>
      <c r="B444" s="4"/>
      <c r="C444" s="4"/>
      <c r="D444" s="4"/>
      <c r="E444" s="4"/>
      <c r="F444" s="4"/>
    </row>
    <row r="445" spans="1:6" x14ac:dyDescent="0.2">
      <c r="A445" s="4"/>
      <c r="B445" s="4"/>
      <c r="C445" s="4"/>
      <c r="D445" s="4"/>
      <c r="E445" s="4"/>
      <c r="F445" s="4"/>
    </row>
    <row r="446" spans="1:6" x14ac:dyDescent="0.2">
      <c r="A446" s="4"/>
      <c r="B446" s="4"/>
      <c r="C446" s="4"/>
      <c r="D446" s="4"/>
      <c r="E446" s="4"/>
      <c r="F446" s="4"/>
    </row>
    <row r="447" spans="1:6" x14ac:dyDescent="0.2">
      <c r="A447" s="4"/>
      <c r="B447" s="4"/>
      <c r="C447" s="4"/>
      <c r="D447" s="4"/>
      <c r="E447" s="4"/>
      <c r="F447" s="4"/>
    </row>
    <row r="448" spans="1:6" x14ac:dyDescent="0.2">
      <c r="A448" s="4"/>
      <c r="B448" s="4"/>
      <c r="C448" s="4"/>
      <c r="D448" s="4"/>
      <c r="E448" s="4"/>
      <c r="F448" s="4"/>
    </row>
    <row r="449" spans="1:6" x14ac:dyDescent="0.2">
      <c r="A449" s="4"/>
      <c r="B449" s="4"/>
      <c r="C449" s="4"/>
      <c r="D449" s="4"/>
      <c r="E449" s="4"/>
      <c r="F449" s="4"/>
    </row>
    <row r="450" spans="1:6" x14ac:dyDescent="0.2">
      <c r="A450" s="4"/>
      <c r="B450" s="4"/>
      <c r="C450" s="4"/>
      <c r="D450" s="4"/>
      <c r="E450" s="4"/>
      <c r="F450" s="4"/>
    </row>
    <row r="451" spans="1:6" x14ac:dyDescent="0.2">
      <c r="A451" s="4"/>
      <c r="B451" s="4"/>
      <c r="C451" s="4"/>
      <c r="D451" s="4"/>
      <c r="E451" s="4"/>
      <c r="F451" s="4"/>
    </row>
    <row r="452" spans="1:6" x14ac:dyDescent="0.2">
      <c r="A452" s="4"/>
      <c r="B452" s="4"/>
      <c r="C452" s="4"/>
      <c r="D452" s="4"/>
      <c r="E452" s="4"/>
      <c r="F452" s="4"/>
    </row>
    <row r="453" spans="1:6" x14ac:dyDescent="0.2">
      <c r="A453" s="4"/>
      <c r="B453" s="4"/>
      <c r="C453" s="4"/>
      <c r="D453" s="4"/>
      <c r="E453" s="4"/>
      <c r="F453" s="4"/>
    </row>
    <row r="454" spans="1:6" x14ac:dyDescent="0.2">
      <c r="A454" s="4"/>
      <c r="B454" s="4"/>
      <c r="C454" s="4"/>
      <c r="D454" s="4"/>
      <c r="E454" s="4"/>
      <c r="F454" s="4"/>
    </row>
    <row r="455" spans="1:6" x14ac:dyDescent="0.2">
      <c r="A455" s="4"/>
      <c r="B455" s="4"/>
      <c r="C455" s="4"/>
      <c r="D455" s="4"/>
      <c r="E455" s="4"/>
      <c r="F455" s="4"/>
    </row>
    <row r="456" spans="1:6" x14ac:dyDescent="0.2">
      <c r="A456" s="4"/>
      <c r="B456" s="4"/>
      <c r="C456" s="4"/>
      <c r="D456" s="4"/>
      <c r="E456" s="4"/>
      <c r="F456" s="4"/>
    </row>
    <row r="457" spans="1:6" x14ac:dyDescent="0.2">
      <c r="A457" s="4"/>
      <c r="B457" s="4"/>
      <c r="C457" s="4"/>
      <c r="D457" s="4"/>
      <c r="E457" s="4"/>
      <c r="F457" s="4"/>
    </row>
    <row r="458" spans="1:6" x14ac:dyDescent="0.2">
      <c r="A458" s="4"/>
      <c r="B458" s="4"/>
      <c r="C458" s="4"/>
      <c r="D458" s="4"/>
      <c r="E458" s="4"/>
      <c r="F458" s="4"/>
    </row>
    <row r="459" spans="1:6" x14ac:dyDescent="0.2">
      <c r="A459" s="4"/>
      <c r="B459" s="4"/>
      <c r="C459" s="4"/>
      <c r="D459" s="4"/>
      <c r="E459" s="4"/>
      <c r="F459" s="4"/>
    </row>
    <row r="460" spans="1:6" x14ac:dyDescent="0.2">
      <c r="A460" s="4"/>
      <c r="B460" s="4"/>
      <c r="C460" s="4"/>
      <c r="D460" s="4"/>
      <c r="E460" s="4"/>
      <c r="F460" s="4"/>
    </row>
    <row r="461" spans="1:6" x14ac:dyDescent="0.2">
      <c r="A461" s="4"/>
      <c r="B461" s="4"/>
      <c r="C461" s="4"/>
      <c r="D461" s="4"/>
      <c r="E461" s="4"/>
      <c r="F461" s="4"/>
    </row>
    <row r="462" spans="1:6" x14ac:dyDescent="0.2">
      <c r="A462" s="4"/>
      <c r="B462" s="4"/>
      <c r="C462" s="4"/>
      <c r="D462" s="4"/>
      <c r="E462" s="4"/>
      <c r="F462" s="4"/>
    </row>
    <row r="463" spans="1:6" x14ac:dyDescent="0.2">
      <c r="A463" s="4"/>
      <c r="B463" s="4"/>
      <c r="C463" s="4"/>
      <c r="D463" s="4"/>
      <c r="E463" s="4"/>
      <c r="F463" s="4"/>
    </row>
    <row r="464" spans="1:6" x14ac:dyDescent="0.2">
      <c r="A464" s="4"/>
      <c r="B464" s="4"/>
      <c r="C464" s="4"/>
      <c r="D464" s="4"/>
      <c r="E464" s="4"/>
      <c r="F464" s="4"/>
    </row>
    <row r="465" spans="1:6" x14ac:dyDescent="0.2">
      <c r="A465" s="4"/>
      <c r="B465" s="4"/>
      <c r="C465" s="4"/>
      <c r="D465" s="4"/>
      <c r="E465" s="4"/>
      <c r="F465" s="4"/>
    </row>
    <row r="466" spans="1:6" x14ac:dyDescent="0.2">
      <c r="A466" s="4"/>
      <c r="B466" s="4"/>
      <c r="C466" s="4"/>
      <c r="D466" s="4"/>
      <c r="E466" s="4"/>
      <c r="F466" s="4"/>
    </row>
    <row r="467" spans="1:6" x14ac:dyDescent="0.2">
      <c r="A467" s="4"/>
      <c r="B467" s="4"/>
      <c r="C467" s="4"/>
      <c r="D467" s="4"/>
      <c r="E467" s="4"/>
      <c r="F467" s="4"/>
    </row>
    <row r="468" spans="1:6" x14ac:dyDescent="0.2">
      <c r="A468" s="4"/>
      <c r="B468" s="4"/>
      <c r="C468" s="4"/>
      <c r="D468" s="4"/>
      <c r="E468" s="4"/>
      <c r="F468" s="4"/>
    </row>
    <row r="469" spans="1:6" x14ac:dyDescent="0.2">
      <c r="A469" s="4"/>
      <c r="B469" s="4"/>
      <c r="C469" s="4"/>
      <c r="D469" s="4"/>
      <c r="E469" s="4"/>
      <c r="F469" s="4"/>
    </row>
    <row r="470" spans="1:6" x14ac:dyDescent="0.2">
      <c r="A470" s="4"/>
      <c r="B470" s="4"/>
      <c r="C470" s="4"/>
      <c r="D470" s="4"/>
      <c r="E470" s="4"/>
      <c r="F470" s="4"/>
    </row>
    <row r="471" spans="1:6" x14ac:dyDescent="0.2">
      <c r="A471" s="4"/>
      <c r="B471" s="4"/>
      <c r="C471" s="4"/>
      <c r="D471" s="4"/>
      <c r="E471" s="4"/>
      <c r="F471" s="4"/>
    </row>
    <row r="472" spans="1:6" x14ac:dyDescent="0.2">
      <c r="A472" s="4"/>
      <c r="B472" s="4"/>
      <c r="C472" s="4"/>
      <c r="D472" s="4"/>
      <c r="E472" s="4"/>
      <c r="F472" s="4"/>
    </row>
    <row r="473" spans="1:6" x14ac:dyDescent="0.2">
      <c r="A473" s="4"/>
      <c r="B473" s="4"/>
      <c r="C473" s="4"/>
      <c r="D473" s="4"/>
      <c r="E473" s="4"/>
      <c r="F473" s="4"/>
    </row>
    <row r="474" spans="1:6" x14ac:dyDescent="0.2">
      <c r="A474" s="4"/>
      <c r="B474" s="4"/>
      <c r="C474" s="4"/>
      <c r="D474" s="4"/>
      <c r="E474" s="4"/>
      <c r="F474" s="4"/>
    </row>
    <row r="475" spans="1:6" x14ac:dyDescent="0.2">
      <c r="A475" s="4"/>
      <c r="B475" s="4"/>
      <c r="C475" s="4"/>
      <c r="D475" s="4"/>
      <c r="E475" s="4"/>
      <c r="F475" s="4"/>
    </row>
    <row r="476" spans="1:6" x14ac:dyDescent="0.2">
      <c r="A476" s="4"/>
      <c r="B476" s="4"/>
      <c r="C476" s="4"/>
      <c r="D476" s="4"/>
      <c r="E476" s="4"/>
      <c r="F476" s="4"/>
    </row>
    <row r="477" spans="1:6" x14ac:dyDescent="0.2">
      <c r="A477" s="4"/>
      <c r="B477" s="4"/>
      <c r="C477" s="4"/>
      <c r="D477" s="4"/>
      <c r="E477" s="4"/>
      <c r="F477" s="4"/>
    </row>
    <row r="478" spans="1:6" x14ac:dyDescent="0.2">
      <c r="A478" s="4"/>
      <c r="B478" s="4"/>
      <c r="C478" s="4"/>
      <c r="D478" s="4"/>
      <c r="E478" s="4"/>
      <c r="F478" s="4"/>
    </row>
    <row r="479" spans="1:6" x14ac:dyDescent="0.2">
      <c r="A479" s="4"/>
      <c r="B479" s="4"/>
      <c r="C479" s="4"/>
      <c r="D479" s="4"/>
      <c r="E479" s="4"/>
      <c r="F479" s="4"/>
    </row>
    <row r="480" spans="1:6" x14ac:dyDescent="0.2">
      <c r="A480" s="4"/>
      <c r="B480" s="4"/>
      <c r="C480" s="4"/>
      <c r="D480" s="4"/>
      <c r="E480" s="4"/>
      <c r="F480" s="4"/>
    </row>
    <row r="481" spans="1:6" x14ac:dyDescent="0.2">
      <c r="A481" s="4"/>
      <c r="B481" s="4"/>
      <c r="C481" s="4"/>
      <c r="D481" s="4"/>
      <c r="E481" s="4"/>
      <c r="F481" s="4"/>
    </row>
    <row r="482" spans="1:6" x14ac:dyDescent="0.2">
      <c r="A482" s="4"/>
      <c r="B482" s="4"/>
      <c r="C482" s="4"/>
      <c r="D482" s="4"/>
      <c r="E482" s="4"/>
      <c r="F482" s="4"/>
    </row>
    <row r="483" spans="1:6" x14ac:dyDescent="0.2">
      <c r="A483" s="4"/>
      <c r="B483" s="4"/>
      <c r="C483" s="4"/>
      <c r="D483" s="4"/>
      <c r="E483" s="4"/>
      <c r="F483" s="4"/>
    </row>
    <row r="484" spans="1:6" x14ac:dyDescent="0.2">
      <c r="A484" s="4"/>
      <c r="B484" s="4"/>
      <c r="C484" s="4"/>
      <c r="D484" s="4"/>
      <c r="E484" s="4"/>
      <c r="F484" s="4"/>
    </row>
    <row r="485" spans="1:6" x14ac:dyDescent="0.2">
      <c r="A485" s="4"/>
      <c r="B485" s="4"/>
      <c r="C485" s="4"/>
      <c r="D485" s="4"/>
      <c r="E485" s="4"/>
      <c r="F485" s="4"/>
    </row>
    <row r="486" spans="1:6" x14ac:dyDescent="0.2">
      <c r="A486" s="4"/>
      <c r="B486" s="4"/>
      <c r="C486" s="4"/>
      <c r="D486" s="4"/>
      <c r="E486" s="4"/>
      <c r="F486" s="4"/>
    </row>
    <row r="487" spans="1:6" x14ac:dyDescent="0.2">
      <c r="A487" s="4"/>
      <c r="B487" s="4"/>
      <c r="C487" s="4"/>
      <c r="D487" s="4"/>
      <c r="E487" s="4"/>
      <c r="F487" s="4"/>
    </row>
    <row r="488" spans="1:6" x14ac:dyDescent="0.2">
      <c r="A488" s="4"/>
      <c r="B488" s="4"/>
      <c r="C488" s="4"/>
      <c r="D488" s="4"/>
      <c r="E488" s="4"/>
      <c r="F488" s="4"/>
    </row>
    <row r="489" spans="1:6" x14ac:dyDescent="0.2">
      <c r="A489" s="4"/>
      <c r="B489" s="4"/>
      <c r="C489" s="4"/>
      <c r="D489" s="4"/>
      <c r="E489" s="4"/>
      <c r="F489" s="4"/>
    </row>
    <row r="490" spans="1:6" x14ac:dyDescent="0.2">
      <c r="A490" s="4"/>
      <c r="B490" s="4"/>
      <c r="C490" s="4"/>
      <c r="D490" s="4"/>
      <c r="E490" s="4"/>
      <c r="F490" s="4"/>
    </row>
    <row r="491" spans="1:6" x14ac:dyDescent="0.2">
      <c r="A491" s="4"/>
      <c r="B491" s="4"/>
      <c r="C491" s="4"/>
      <c r="D491" s="4"/>
      <c r="E491" s="4"/>
      <c r="F491" s="4"/>
    </row>
    <row r="492" spans="1:6" x14ac:dyDescent="0.2">
      <c r="A492" s="4"/>
      <c r="B492" s="4"/>
      <c r="C492" s="4"/>
      <c r="D492" s="4"/>
      <c r="E492" s="4"/>
      <c r="F492" s="4"/>
    </row>
    <row r="493" spans="1:6" x14ac:dyDescent="0.2">
      <c r="A493" s="4"/>
      <c r="B493" s="4"/>
      <c r="C493" s="4"/>
      <c r="D493" s="4"/>
      <c r="E493" s="4"/>
      <c r="F493" s="4"/>
    </row>
    <row r="494" spans="1:6" x14ac:dyDescent="0.2">
      <c r="A494" s="4"/>
      <c r="B494" s="4"/>
      <c r="C494" s="4"/>
      <c r="D494" s="4"/>
      <c r="E494" s="4"/>
      <c r="F494" s="4"/>
    </row>
    <row r="495" spans="1:6" x14ac:dyDescent="0.2">
      <c r="A495" s="4"/>
      <c r="B495" s="4"/>
      <c r="C495" s="4"/>
      <c r="D495" s="4"/>
      <c r="E495" s="4"/>
      <c r="F495" s="4"/>
    </row>
    <row r="496" spans="1:6" x14ac:dyDescent="0.2">
      <c r="A496" s="4"/>
      <c r="B496" s="4"/>
      <c r="C496" s="4"/>
      <c r="D496" s="4"/>
      <c r="E496" s="4"/>
      <c r="F496" s="4"/>
    </row>
    <row r="497" spans="1:6" x14ac:dyDescent="0.2">
      <c r="A497" s="4"/>
      <c r="B497" s="4"/>
      <c r="C497" s="4"/>
      <c r="D497" s="4"/>
      <c r="E497" s="4"/>
      <c r="F497" s="4"/>
    </row>
    <row r="498" spans="1:6" x14ac:dyDescent="0.2">
      <c r="A498" s="4"/>
      <c r="B498" s="4"/>
      <c r="C498" s="4"/>
      <c r="D498" s="4"/>
      <c r="E498" s="4"/>
      <c r="F498" s="4"/>
    </row>
    <row r="499" spans="1:6" x14ac:dyDescent="0.2">
      <c r="A499" s="4"/>
      <c r="B499" s="4"/>
      <c r="C499" s="4"/>
      <c r="D499" s="4"/>
      <c r="E499" s="4"/>
      <c r="F499" s="4"/>
    </row>
    <row r="500" spans="1:6" x14ac:dyDescent="0.2">
      <c r="A500" s="4"/>
      <c r="B500" s="4"/>
      <c r="C500" s="4"/>
      <c r="D500" s="4"/>
      <c r="E500" s="4"/>
      <c r="F500" s="4"/>
    </row>
    <row r="501" spans="1:6" x14ac:dyDescent="0.2">
      <c r="A501" s="4"/>
      <c r="B501" s="4"/>
      <c r="C501" s="4"/>
      <c r="D501" s="4"/>
      <c r="E501" s="4"/>
      <c r="F501" s="4"/>
    </row>
    <row r="502" spans="1:6" x14ac:dyDescent="0.2">
      <c r="A502" s="4"/>
      <c r="B502" s="4"/>
      <c r="C502" s="4"/>
      <c r="D502" s="4"/>
      <c r="E502" s="4"/>
      <c r="F502" s="4"/>
    </row>
    <row r="503" spans="1:6" x14ac:dyDescent="0.2">
      <c r="A503" s="4"/>
      <c r="B503" s="4"/>
      <c r="C503" s="4"/>
      <c r="D503" s="4"/>
      <c r="E503" s="4"/>
      <c r="F503" s="4"/>
    </row>
    <row r="504" spans="1:6" x14ac:dyDescent="0.2">
      <c r="A504" s="4"/>
      <c r="B504" s="4"/>
      <c r="C504" s="4"/>
      <c r="D504" s="4"/>
      <c r="E504" s="4"/>
      <c r="F504" s="4"/>
    </row>
    <row r="505" spans="1:6" x14ac:dyDescent="0.2">
      <c r="A505" s="4"/>
      <c r="B505" s="4"/>
      <c r="C505" s="4"/>
      <c r="D505" s="4"/>
      <c r="E505" s="4"/>
      <c r="F505" s="4"/>
    </row>
    <row r="506" spans="1:6" x14ac:dyDescent="0.2">
      <c r="A506" s="4"/>
      <c r="B506" s="4"/>
      <c r="C506" s="4"/>
      <c r="D506" s="4"/>
      <c r="E506" s="4"/>
      <c r="F506" s="4"/>
    </row>
    <row r="507" spans="1:6" x14ac:dyDescent="0.2">
      <c r="A507" s="4"/>
      <c r="B507" s="4"/>
      <c r="C507" s="4"/>
      <c r="D507" s="4"/>
      <c r="E507" s="4"/>
      <c r="F507" s="4"/>
    </row>
    <row r="508" spans="1:6" x14ac:dyDescent="0.2">
      <c r="A508" s="4"/>
      <c r="B508" s="4"/>
      <c r="C508" s="4"/>
      <c r="D508" s="4"/>
      <c r="E508" s="4"/>
      <c r="F508" s="4"/>
    </row>
    <row r="509" spans="1:6" x14ac:dyDescent="0.2">
      <c r="A509" s="4"/>
      <c r="B509" s="4"/>
      <c r="C509" s="4"/>
      <c r="D509" s="4"/>
      <c r="E509" s="4"/>
      <c r="F509" s="4"/>
    </row>
    <row r="510" spans="1:6" x14ac:dyDescent="0.2">
      <c r="A510" s="4"/>
      <c r="B510" s="4"/>
      <c r="C510" s="4"/>
      <c r="D510" s="4"/>
      <c r="E510" s="4"/>
      <c r="F510" s="4"/>
    </row>
    <row r="511" spans="1:6" x14ac:dyDescent="0.2">
      <c r="A511" s="4"/>
      <c r="B511" s="4"/>
      <c r="C511" s="4"/>
      <c r="D511" s="4"/>
      <c r="E511" s="4"/>
      <c r="F511" s="4"/>
    </row>
    <row r="512" spans="1:6" x14ac:dyDescent="0.2">
      <c r="A512" s="4"/>
      <c r="B512" s="4"/>
      <c r="C512" s="4"/>
      <c r="D512" s="4"/>
      <c r="E512" s="4"/>
      <c r="F512" s="4"/>
    </row>
    <row r="513" spans="1:6" x14ac:dyDescent="0.2">
      <c r="A513" s="4"/>
      <c r="B513" s="4"/>
      <c r="C513" s="4"/>
      <c r="D513" s="4"/>
      <c r="E513" s="4"/>
      <c r="F513" s="4"/>
    </row>
    <row r="514" spans="1:6" x14ac:dyDescent="0.2">
      <c r="A514" s="4"/>
      <c r="B514" s="4"/>
      <c r="C514" s="4"/>
      <c r="D514" s="4"/>
      <c r="E514" s="4"/>
      <c r="F514" s="4"/>
    </row>
    <row r="515" spans="1:6" x14ac:dyDescent="0.2">
      <c r="A515" s="4"/>
      <c r="B515" s="4"/>
      <c r="C515" s="4"/>
      <c r="D515" s="4"/>
      <c r="E515" s="4"/>
      <c r="F515" s="4"/>
    </row>
    <row r="516" spans="1:6" x14ac:dyDescent="0.2">
      <c r="A516" s="4"/>
      <c r="B516" s="4"/>
      <c r="C516" s="4"/>
      <c r="D516" s="4"/>
      <c r="E516" s="4"/>
      <c r="F516" s="4"/>
    </row>
    <row r="517" spans="1:6" x14ac:dyDescent="0.2">
      <c r="A517" s="4"/>
      <c r="B517" s="4"/>
      <c r="C517" s="4"/>
      <c r="D517" s="4"/>
      <c r="E517" s="4"/>
      <c r="F517" s="4"/>
    </row>
    <row r="518" spans="1:6" x14ac:dyDescent="0.2">
      <c r="A518" s="4"/>
      <c r="B518" s="4"/>
      <c r="C518" s="4"/>
      <c r="D518" s="4"/>
      <c r="E518" s="4"/>
      <c r="F518" s="4"/>
    </row>
    <row r="519" spans="1:6" x14ac:dyDescent="0.2">
      <c r="A519" s="4"/>
      <c r="B519" s="4"/>
      <c r="C519" s="4"/>
      <c r="D519" s="4"/>
      <c r="E519" s="4"/>
      <c r="F519" s="4"/>
    </row>
    <row r="520" spans="1:6" x14ac:dyDescent="0.2">
      <c r="A520" s="4"/>
      <c r="B520" s="4"/>
      <c r="C520" s="4"/>
      <c r="D520" s="4"/>
      <c r="E520" s="4"/>
      <c r="F520" s="4"/>
    </row>
    <row r="521" spans="1:6" x14ac:dyDescent="0.2">
      <c r="A521" s="4"/>
      <c r="B521" s="4"/>
      <c r="C521" s="4"/>
      <c r="D521" s="4"/>
      <c r="E521" s="4"/>
      <c r="F521" s="4"/>
    </row>
    <row r="522" spans="1:6" x14ac:dyDescent="0.2">
      <c r="A522" s="4"/>
      <c r="B522" s="4"/>
      <c r="C522" s="4"/>
      <c r="D522" s="4"/>
      <c r="E522" s="4"/>
      <c r="F522" s="4"/>
    </row>
    <row r="523" spans="1:6" x14ac:dyDescent="0.2">
      <c r="A523" s="4"/>
      <c r="B523" s="4"/>
      <c r="C523" s="4"/>
      <c r="D523" s="4"/>
      <c r="E523" s="4"/>
      <c r="F523" s="4"/>
    </row>
    <row r="524" spans="1:6" x14ac:dyDescent="0.2">
      <c r="A524" s="4"/>
      <c r="B524" s="4"/>
      <c r="C524" s="4"/>
      <c r="D524" s="4"/>
      <c r="E524" s="4"/>
      <c r="F524" s="4"/>
    </row>
    <row r="525" spans="1:6" x14ac:dyDescent="0.2">
      <c r="A525" s="4"/>
      <c r="B525" s="4"/>
      <c r="C525" s="4"/>
      <c r="D525" s="4"/>
      <c r="E525" s="4"/>
      <c r="F525" s="4"/>
    </row>
    <row r="526" spans="1:6" x14ac:dyDescent="0.2">
      <c r="A526" s="4"/>
      <c r="B526" s="4"/>
      <c r="C526" s="4"/>
      <c r="D526" s="4"/>
      <c r="E526" s="4"/>
      <c r="F526" s="4"/>
    </row>
    <row r="527" spans="1:6" x14ac:dyDescent="0.2">
      <c r="A527" s="4"/>
      <c r="B527" s="4"/>
      <c r="C527" s="4"/>
      <c r="D527" s="4"/>
      <c r="E527" s="4"/>
      <c r="F527" s="4"/>
    </row>
    <row r="528" spans="1:6" x14ac:dyDescent="0.2">
      <c r="A528" s="4"/>
      <c r="B528" s="4"/>
      <c r="C528" s="4"/>
      <c r="D528" s="4"/>
      <c r="E528" s="4"/>
      <c r="F528" s="4"/>
    </row>
    <row r="529" spans="1:6" x14ac:dyDescent="0.2">
      <c r="A529" s="4"/>
      <c r="B529" s="4"/>
      <c r="C529" s="4"/>
      <c r="D529" s="4"/>
      <c r="E529" s="4"/>
      <c r="F529" s="4"/>
    </row>
    <row r="530" spans="1:6" x14ac:dyDescent="0.2">
      <c r="A530" s="4"/>
      <c r="B530" s="4"/>
      <c r="C530" s="4"/>
      <c r="D530" s="4"/>
      <c r="E530" s="4"/>
      <c r="F530" s="4"/>
    </row>
    <row r="531" spans="1:6" x14ac:dyDescent="0.2">
      <c r="A531" s="4"/>
      <c r="B531" s="4"/>
      <c r="C531" s="4"/>
      <c r="D531" s="4"/>
      <c r="E531" s="4"/>
      <c r="F531" s="4"/>
    </row>
    <row r="532" spans="1:6" x14ac:dyDescent="0.2">
      <c r="A532" s="4"/>
      <c r="B532" s="4"/>
      <c r="C532" s="4"/>
      <c r="D532" s="4"/>
      <c r="E532" s="4"/>
      <c r="F532" s="4"/>
    </row>
    <row r="533" spans="1:6" x14ac:dyDescent="0.2">
      <c r="A533" s="4"/>
      <c r="B533" s="4"/>
      <c r="C533" s="4"/>
      <c r="D533" s="4"/>
      <c r="E533" s="4"/>
      <c r="F533" s="4"/>
    </row>
    <row r="534" spans="1:6" x14ac:dyDescent="0.2">
      <c r="A534" s="4"/>
      <c r="B534" s="4"/>
      <c r="C534" s="4"/>
      <c r="D534" s="4"/>
      <c r="E534" s="4"/>
      <c r="F534" s="4"/>
    </row>
    <row r="535" spans="1:6" x14ac:dyDescent="0.2">
      <c r="A535" s="4"/>
      <c r="B535" s="4"/>
      <c r="C535" s="4"/>
      <c r="D535" s="4"/>
      <c r="E535" s="4"/>
      <c r="F535" s="4"/>
    </row>
    <row r="536" spans="1:6" x14ac:dyDescent="0.2">
      <c r="A536" s="4"/>
      <c r="B536" s="4"/>
      <c r="C536" s="4"/>
      <c r="D536" s="4"/>
      <c r="E536" s="4"/>
      <c r="F536" s="4"/>
    </row>
    <row r="537" spans="1:6" x14ac:dyDescent="0.2">
      <c r="A537" s="4"/>
      <c r="B537" s="4"/>
      <c r="C537" s="4"/>
      <c r="D537" s="4"/>
      <c r="E537" s="4"/>
      <c r="F537" s="4"/>
    </row>
    <row r="538" spans="1:6" x14ac:dyDescent="0.2">
      <c r="A538" s="4"/>
      <c r="B538" s="4"/>
      <c r="C538" s="4"/>
      <c r="D538" s="4"/>
      <c r="E538" s="4"/>
      <c r="F538" s="4"/>
    </row>
    <row r="539" spans="1:6" x14ac:dyDescent="0.2">
      <c r="A539" s="4"/>
      <c r="B539" s="4"/>
      <c r="C539" s="4"/>
      <c r="D539" s="4"/>
      <c r="E539" s="4"/>
      <c r="F539" s="4"/>
    </row>
    <row r="540" spans="1:6" x14ac:dyDescent="0.2">
      <c r="A540" s="4"/>
      <c r="B540" s="4"/>
      <c r="C540" s="4"/>
      <c r="D540" s="4"/>
      <c r="E540" s="4"/>
      <c r="F540" s="4"/>
    </row>
    <row r="541" spans="1:6" x14ac:dyDescent="0.2">
      <c r="A541" s="4"/>
      <c r="B541" s="4"/>
      <c r="C541" s="4"/>
      <c r="D541" s="4"/>
      <c r="E541" s="4"/>
      <c r="F541" s="4"/>
    </row>
    <row r="542" spans="1:6" x14ac:dyDescent="0.2">
      <c r="A542" s="4"/>
      <c r="B542" s="4"/>
      <c r="C542" s="4"/>
      <c r="D542" s="4"/>
      <c r="E542" s="4"/>
      <c r="F542" s="4"/>
    </row>
    <row r="543" spans="1:6" x14ac:dyDescent="0.2">
      <c r="A543" s="4"/>
      <c r="B543" s="4"/>
      <c r="C543" s="4"/>
      <c r="D543" s="4"/>
      <c r="E543" s="4"/>
      <c r="F543" s="4"/>
    </row>
    <row r="544" spans="1:6" x14ac:dyDescent="0.2">
      <c r="A544" s="4"/>
      <c r="B544" s="4"/>
      <c r="C544" s="4"/>
      <c r="D544" s="4"/>
      <c r="E544" s="4"/>
      <c r="F544" s="4"/>
    </row>
    <row r="545" spans="1:6" x14ac:dyDescent="0.2">
      <c r="A545" s="4"/>
      <c r="B545" s="4"/>
      <c r="C545" s="4"/>
      <c r="D545" s="4"/>
      <c r="E545" s="4"/>
      <c r="F545" s="4"/>
    </row>
    <row r="546" spans="1:6" x14ac:dyDescent="0.2">
      <c r="A546" s="4"/>
      <c r="B546" s="4"/>
      <c r="C546" s="4"/>
      <c r="D546" s="4"/>
      <c r="E546" s="4"/>
      <c r="F546" s="4"/>
    </row>
    <row r="547" spans="1:6" x14ac:dyDescent="0.2">
      <c r="A547" s="4"/>
      <c r="B547" s="4"/>
      <c r="C547" s="4"/>
      <c r="D547" s="4"/>
      <c r="E547" s="4"/>
      <c r="F547" s="4"/>
    </row>
    <row r="548" spans="1:6" x14ac:dyDescent="0.2">
      <c r="A548" s="4"/>
      <c r="B548" s="4"/>
      <c r="C548" s="4"/>
      <c r="D548" s="4"/>
      <c r="E548" s="4"/>
      <c r="F548" s="4"/>
    </row>
    <row r="549" spans="1:6" x14ac:dyDescent="0.2">
      <c r="A549" s="4"/>
      <c r="B549" s="4"/>
      <c r="C549" s="4"/>
      <c r="D549" s="4"/>
      <c r="E549" s="4"/>
      <c r="F549" s="4"/>
    </row>
    <row r="550" spans="1:6" x14ac:dyDescent="0.2">
      <c r="A550" s="4"/>
      <c r="B550" s="4"/>
      <c r="C550" s="4"/>
      <c r="D550" s="4"/>
      <c r="E550" s="4"/>
      <c r="F550" s="4"/>
    </row>
    <row r="551" spans="1:6" x14ac:dyDescent="0.2">
      <c r="A551" s="4"/>
      <c r="B551" s="4"/>
      <c r="C551" s="4"/>
      <c r="D551" s="4"/>
      <c r="E551" s="4"/>
      <c r="F551" s="4"/>
    </row>
    <row r="552" spans="1:6" x14ac:dyDescent="0.2">
      <c r="A552" s="4"/>
      <c r="B552" s="4"/>
      <c r="C552" s="4"/>
      <c r="D552" s="4"/>
      <c r="E552" s="4"/>
      <c r="F552" s="4"/>
    </row>
    <row r="553" spans="1:6" x14ac:dyDescent="0.2">
      <c r="A553" s="4"/>
      <c r="B553" s="4"/>
      <c r="C553" s="4"/>
      <c r="D553" s="4"/>
      <c r="E553" s="4"/>
      <c r="F553" s="4"/>
    </row>
    <row r="554" spans="1:6" x14ac:dyDescent="0.2">
      <c r="A554" s="4"/>
      <c r="B554" s="4"/>
      <c r="C554" s="4"/>
      <c r="D554" s="4"/>
      <c r="E554" s="4"/>
      <c r="F554" s="4"/>
    </row>
    <row r="555" spans="1:6" x14ac:dyDescent="0.2">
      <c r="A555" s="4"/>
      <c r="B555" s="4"/>
      <c r="C555" s="4"/>
      <c r="D555" s="4"/>
      <c r="E555" s="4"/>
      <c r="F555" s="4"/>
    </row>
    <row r="556" spans="1:6" x14ac:dyDescent="0.2">
      <c r="A556" s="4"/>
      <c r="B556" s="4"/>
      <c r="C556" s="4"/>
      <c r="D556" s="4"/>
      <c r="E556" s="4"/>
      <c r="F556" s="4"/>
    </row>
    <row r="557" spans="1:6" x14ac:dyDescent="0.2">
      <c r="A557" s="4"/>
      <c r="B557" s="4"/>
      <c r="C557" s="4"/>
      <c r="D557" s="4"/>
      <c r="E557" s="4"/>
      <c r="F557" s="4"/>
    </row>
    <row r="558" spans="1:6" x14ac:dyDescent="0.2">
      <c r="A558" s="4"/>
      <c r="B558" s="4"/>
      <c r="C558" s="4"/>
      <c r="D558" s="4"/>
      <c r="E558" s="4"/>
      <c r="F558" s="4"/>
    </row>
    <row r="559" spans="1:6" x14ac:dyDescent="0.2">
      <c r="A559" s="4"/>
      <c r="B559" s="4"/>
      <c r="C559" s="4"/>
      <c r="D559" s="4"/>
      <c r="E559" s="4"/>
      <c r="F559" s="4"/>
    </row>
    <row r="560" spans="1:6" x14ac:dyDescent="0.2">
      <c r="A560" s="4"/>
      <c r="B560" s="4"/>
      <c r="C560" s="4"/>
      <c r="D560" s="4"/>
      <c r="E560" s="4"/>
      <c r="F560" s="4"/>
    </row>
    <row r="561" spans="1:6" x14ac:dyDescent="0.2">
      <c r="A561" s="4"/>
      <c r="B561" s="4"/>
      <c r="C561" s="4"/>
      <c r="D561" s="4"/>
      <c r="E561" s="4"/>
      <c r="F561" s="4"/>
    </row>
    <row r="562" spans="1:6" x14ac:dyDescent="0.2">
      <c r="A562" s="4"/>
      <c r="B562" s="4"/>
      <c r="C562" s="4"/>
      <c r="D562" s="4"/>
      <c r="E562" s="4"/>
      <c r="F562" s="4"/>
    </row>
    <row r="563" spans="1:6" x14ac:dyDescent="0.2">
      <c r="A563" s="4"/>
      <c r="B563" s="4"/>
      <c r="C563" s="4"/>
      <c r="D563" s="4"/>
      <c r="E563" s="4"/>
      <c r="F563" s="4"/>
    </row>
    <row r="564" spans="1:6" x14ac:dyDescent="0.2">
      <c r="A564" s="4"/>
      <c r="B564" s="4"/>
      <c r="C564" s="4"/>
      <c r="D564" s="4"/>
      <c r="E564" s="4"/>
      <c r="F564" s="4"/>
    </row>
    <row r="565" spans="1:6" x14ac:dyDescent="0.2">
      <c r="A565" s="4"/>
      <c r="B565" s="4"/>
      <c r="C565" s="4"/>
      <c r="D565" s="4"/>
      <c r="E565" s="4"/>
      <c r="F565" s="4"/>
    </row>
    <row r="566" spans="1:6" x14ac:dyDescent="0.2">
      <c r="A566" s="4"/>
      <c r="B566" s="4"/>
      <c r="C566" s="4"/>
      <c r="D566" s="4"/>
      <c r="E566" s="4"/>
      <c r="F566" s="4"/>
    </row>
    <row r="567" spans="1:6" x14ac:dyDescent="0.2">
      <c r="A567" s="4"/>
      <c r="B567" s="4"/>
      <c r="C567" s="4"/>
      <c r="D567" s="4"/>
      <c r="E567" s="4"/>
      <c r="F567" s="4"/>
    </row>
    <row r="568" spans="1:6" x14ac:dyDescent="0.2">
      <c r="A568" s="4"/>
      <c r="B568" s="4"/>
      <c r="C568" s="4"/>
      <c r="D568" s="4"/>
      <c r="E568" s="4"/>
      <c r="F568" s="4"/>
    </row>
    <row r="569" spans="1:6" x14ac:dyDescent="0.2">
      <c r="A569" s="4"/>
      <c r="B569" s="4"/>
      <c r="C569" s="4"/>
      <c r="D569" s="4"/>
      <c r="E569" s="4"/>
      <c r="F569" s="4"/>
    </row>
    <row r="570" spans="1:6" x14ac:dyDescent="0.2">
      <c r="A570" s="4"/>
      <c r="B570" s="4"/>
      <c r="C570" s="4"/>
      <c r="D570" s="4"/>
      <c r="E570" s="4"/>
      <c r="F570" s="4"/>
    </row>
    <row r="571" spans="1:6" x14ac:dyDescent="0.2">
      <c r="A571" s="4"/>
      <c r="B571" s="4"/>
      <c r="C571" s="4"/>
      <c r="D571" s="4"/>
      <c r="E571" s="4"/>
      <c r="F571" s="4"/>
    </row>
    <row r="572" spans="1:6" x14ac:dyDescent="0.2">
      <c r="A572" s="4"/>
      <c r="B572" s="4"/>
      <c r="C572" s="4"/>
      <c r="D572" s="4"/>
      <c r="E572" s="4"/>
      <c r="F572" s="4"/>
    </row>
    <row r="573" spans="1:6" x14ac:dyDescent="0.2">
      <c r="A573" s="4"/>
      <c r="B573" s="4"/>
      <c r="C573" s="4"/>
      <c r="D573" s="4"/>
      <c r="E573" s="4"/>
      <c r="F573" s="4"/>
    </row>
    <row r="574" spans="1:6" x14ac:dyDescent="0.2">
      <c r="A574" s="4"/>
      <c r="B574" s="4"/>
      <c r="C574" s="4"/>
      <c r="D574" s="4"/>
      <c r="E574" s="4"/>
      <c r="F574" s="4"/>
    </row>
    <row r="575" spans="1:6" x14ac:dyDescent="0.2">
      <c r="A575" s="4"/>
      <c r="B575" s="4"/>
      <c r="C575" s="4"/>
      <c r="D575" s="4"/>
      <c r="E575" s="4"/>
      <c r="F575" s="4"/>
    </row>
    <row r="576" spans="1:6" x14ac:dyDescent="0.2">
      <c r="A576" s="4"/>
      <c r="B576" s="4"/>
      <c r="C576" s="4"/>
      <c r="D576" s="4"/>
      <c r="E576" s="4"/>
      <c r="F576" s="4"/>
    </row>
    <row r="577" spans="1:6" x14ac:dyDescent="0.2">
      <c r="A577" s="4"/>
      <c r="B577" s="4"/>
      <c r="C577" s="4"/>
      <c r="D577" s="4"/>
      <c r="E577" s="4"/>
      <c r="F577" s="4"/>
    </row>
    <row r="578" spans="1:6" x14ac:dyDescent="0.2">
      <c r="A578" s="4"/>
      <c r="B578" s="4"/>
      <c r="C578" s="4"/>
      <c r="D578" s="4"/>
      <c r="E578" s="4"/>
      <c r="F578" s="4"/>
    </row>
    <row r="579" spans="1:6" x14ac:dyDescent="0.2">
      <c r="A579" s="4"/>
      <c r="B579" s="4"/>
      <c r="C579" s="4"/>
      <c r="D579" s="4"/>
      <c r="E579" s="4"/>
      <c r="F579" s="4"/>
    </row>
    <row r="580" spans="1:6" x14ac:dyDescent="0.2">
      <c r="A580" s="4"/>
      <c r="B580" s="4"/>
      <c r="C580" s="4"/>
      <c r="D580" s="4"/>
      <c r="E580" s="4"/>
      <c r="F580" s="4"/>
    </row>
    <row r="581" spans="1:6" x14ac:dyDescent="0.2">
      <c r="A581" s="4"/>
      <c r="B581" s="4"/>
      <c r="C581" s="4"/>
      <c r="D581" s="4"/>
      <c r="E581" s="4"/>
      <c r="F581" s="4"/>
    </row>
    <row r="582" spans="1:6" x14ac:dyDescent="0.2">
      <c r="A582" s="4"/>
      <c r="B582" s="4"/>
      <c r="C582" s="4"/>
      <c r="D582" s="4"/>
      <c r="E582" s="4"/>
      <c r="F582" s="4"/>
    </row>
    <row r="583" spans="1:6" x14ac:dyDescent="0.2">
      <c r="A583" s="4"/>
      <c r="B583" s="4"/>
      <c r="C583" s="4"/>
      <c r="D583" s="4"/>
      <c r="E583" s="4"/>
      <c r="F583" s="4"/>
    </row>
    <row r="584" spans="1:6" x14ac:dyDescent="0.2">
      <c r="A584" s="4"/>
      <c r="B584" s="4"/>
      <c r="C584" s="4"/>
      <c r="D584" s="4"/>
      <c r="E584" s="4"/>
      <c r="F584" s="4"/>
    </row>
    <row r="585" spans="1:6" x14ac:dyDescent="0.2">
      <c r="A585" s="4"/>
      <c r="B585" s="4"/>
      <c r="C585" s="4"/>
      <c r="D585" s="4"/>
      <c r="E585" s="4"/>
      <c r="F585" s="4"/>
    </row>
    <row r="586" spans="1:6" x14ac:dyDescent="0.2">
      <c r="A586" s="4"/>
      <c r="B586" s="4"/>
      <c r="C586" s="4"/>
      <c r="D586" s="4"/>
      <c r="E586" s="4"/>
      <c r="F586" s="4"/>
    </row>
    <row r="587" spans="1:6" x14ac:dyDescent="0.2">
      <c r="A587" s="4"/>
      <c r="B587" s="4"/>
      <c r="C587" s="4"/>
      <c r="D587" s="4"/>
      <c r="E587" s="4"/>
      <c r="F587" s="4"/>
    </row>
    <row r="588" spans="1:6" x14ac:dyDescent="0.2">
      <c r="A588" s="4"/>
      <c r="B588" s="4"/>
      <c r="C588" s="4"/>
      <c r="D588" s="4"/>
      <c r="E588" s="4"/>
      <c r="F588" s="4"/>
    </row>
    <row r="589" spans="1:6" x14ac:dyDescent="0.2">
      <c r="A589" s="4"/>
      <c r="B589" s="4"/>
      <c r="C589" s="4"/>
      <c r="D589" s="4"/>
      <c r="E589" s="4"/>
      <c r="F589" s="4"/>
    </row>
    <row r="590" spans="1:6" x14ac:dyDescent="0.2">
      <c r="A590" s="4"/>
      <c r="B590" s="4"/>
      <c r="C590" s="4"/>
      <c r="D590" s="4"/>
      <c r="E590" s="4"/>
      <c r="F590" s="4"/>
    </row>
    <row r="591" spans="1:6" x14ac:dyDescent="0.2">
      <c r="A591" s="4"/>
      <c r="B591" s="4"/>
      <c r="C591" s="4"/>
      <c r="D591" s="4"/>
      <c r="E591" s="4"/>
      <c r="F591" s="4"/>
    </row>
    <row r="592" spans="1:6" x14ac:dyDescent="0.2">
      <c r="A592" s="4"/>
      <c r="B592" s="4"/>
      <c r="C592" s="4"/>
      <c r="D592" s="4"/>
      <c r="E592" s="4"/>
      <c r="F592" s="4"/>
    </row>
    <row r="593" spans="1:6" x14ac:dyDescent="0.2">
      <c r="A593" s="4"/>
      <c r="B593" s="4"/>
      <c r="C593" s="4"/>
      <c r="D593" s="4"/>
      <c r="E593" s="4"/>
      <c r="F593" s="4"/>
    </row>
    <row r="594" spans="1:6" x14ac:dyDescent="0.2">
      <c r="A594" s="4"/>
      <c r="B594" s="4"/>
      <c r="C594" s="4"/>
      <c r="D594" s="4"/>
      <c r="E594" s="4"/>
      <c r="F594" s="4"/>
    </row>
    <row r="595" spans="1:6" x14ac:dyDescent="0.2">
      <c r="A595" s="4"/>
      <c r="B595" s="4"/>
      <c r="C595" s="4"/>
      <c r="D595" s="4"/>
      <c r="E595" s="4"/>
      <c r="F595" s="4"/>
    </row>
    <row r="596" spans="1:6" x14ac:dyDescent="0.2">
      <c r="A596" s="4"/>
      <c r="B596" s="4"/>
      <c r="C596" s="4"/>
      <c r="D596" s="4"/>
      <c r="E596" s="4"/>
      <c r="F596" s="4"/>
    </row>
    <row r="597" spans="1:6" x14ac:dyDescent="0.2">
      <c r="A597" s="4"/>
      <c r="B597" s="4"/>
      <c r="C597" s="4"/>
      <c r="D597" s="4"/>
      <c r="E597" s="4"/>
      <c r="F597" s="4"/>
    </row>
    <row r="598" spans="1:6" x14ac:dyDescent="0.2">
      <c r="A598" s="4"/>
      <c r="B598" s="4"/>
      <c r="C598" s="4"/>
      <c r="D598" s="4"/>
      <c r="E598" s="4"/>
      <c r="F598" s="4"/>
    </row>
    <row r="599" spans="1:6" x14ac:dyDescent="0.2">
      <c r="A599" s="4"/>
      <c r="B599" s="4"/>
      <c r="C599" s="4"/>
      <c r="D599" s="4"/>
      <c r="E599" s="4"/>
      <c r="F599" s="4"/>
    </row>
    <row r="600" spans="1:6" x14ac:dyDescent="0.2">
      <c r="A600" s="4"/>
      <c r="B600" s="4"/>
      <c r="C600" s="4"/>
      <c r="D600" s="4"/>
      <c r="E600" s="4"/>
      <c r="F600" s="4"/>
    </row>
    <row r="601" spans="1:6" x14ac:dyDescent="0.2">
      <c r="A601" s="4"/>
      <c r="B601" s="4"/>
      <c r="C601" s="4"/>
      <c r="D601" s="4"/>
      <c r="E601" s="4"/>
      <c r="F601" s="4"/>
    </row>
    <row r="602" spans="1:6" x14ac:dyDescent="0.2">
      <c r="A602" s="4"/>
      <c r="B602" s="4"/>
      <c r="C602" s="4"/>
      <c r="D602" s="4"/>
      <c r="E602" s="4"/>
      <c r="F602" s="4"/>
    </row>
    <row r="603" spans="1:6" x14ac:dyDescent="0.2">
      <c r="A603" s="4"/>
      <c r="B603" s="4"/>
      <c r="C603" s="4"/>
      <c r="D603" s="4"/>
      <c r="E603" s="4"/>
      <c r="F603" s="4"/>
    </row>
    <row r="604" spans="1:6" x14ac:dyDescent="0.2">
      <c r="A604" s="4"/>
      <c r="B604" s="4"/>
      <c r="C604" s="4"/>
      <c r="D604" s="4"/>
      <c r="E604" s="4"/>
      <c r="F604" s="4"/>
    </row>
    <row r="605" spans="1:6" x14ac:dyDescent="0.2">
      <c r="A605" s="4"/>
      <c r="B605" s="4"/>
      <c r="C605" s="4"/>
      <c r="D605" s="4"/>
      <c r="E605" s="4"/>
      <c r="F605" s="4"/>
    </row>
    <row r="606" spans="1:6" x14ac:dyDescent="0.2">
      <c r="A606" s="4"/>
      <c r="B606" s="4"/>
      <c r="C606" s="4"/>
      <c r="D606" s="4"/>
      <c r="E606" s="4"/>
      <c r="F606" s="4"/>
    </row>
    <row r="607" spans="1:6" x14ac:dyDescent="0.2">
      <c r="A607" s="4"/>
      <c r="B607" s="4"/>
      <c r="C607" s="4"/>
      <c r="D607" s="4"/>
      <c r="E607" s="4"/>
      <c r="F607" s="4"/>
    </row>
    <row r="608" spans="1:6" x14ac:dyDescent="0.2">
      <c r="A608" s="4"/>
      <c r="B608" s="4"/>
      <c r="C608" s="4"/>
      <c r="D608" s="4"/>
      <c r="E608" s="4"/>
      <c r="F608" s="4"/>
    </row>
    <row r="609" spans="1:6" x14ac:dyDescent="0.2">
      <c r="A609" s="4"/>
      <c r="B609" s="4"/>
      <c r="C609" s="4"/>
      <c r="D609" s="4"/>
      <c r="E609" s="4"/>
      <c r="F609" s="4"/>
    </row>
    <row r="610" spans="1:6" x14ac:dyDescent="0.2">
      <c r="A610" s="4"/>
      <c r="B610" s="4"/>
      <c r="C610" s="4"/>
      <c r="D610" s="4"/>
      <c r="E610" s="4"/>
      <c r="F610" s="4"/>
    </row>
    <row r="611" spans="1:6" x14ac:dyDescent="0.2">
      <c r="A611" s="4"/>
      <c r="B611" s="4"/>
      <c r="C611" s="4"/>
      <c r="D611" s="4"/>
      <c r="E611" s="4"/>
      <c r="F611" s="4"/>
    </row>
    <row r="612" spans="1:6" x14ac:dyDescent="0.2">
      <c r="A612" s="4"/>
      <c r="B612" s="4"/>
      <c r="C612" s="4"/>
      <c r="D612" s="4"/>
      <c r="E612" s="4"/>
      <c r="F612" s="4"/>
    </row>
    <row r="613" spans="1:6" x14ac:dyDescent="0.2">
      <c r="A613" s="4"/>
      <c r="B613" s="4"/>
      <c r="C613" s="4"/>
      <c r="D613" s="4"/>
      <c r="E613" s="4"/>
      <c r="F613" s="4"/>
    </row>
    <row r="614" spans="1:6" x14ac:dyDescent="0.2">
      <c r="A614" s="4"/>
      <c r="B614" s="4"/>
      <c r="C614" s="4"/>
      <c r="D614" s="4"/>
      <c r="E614" s="4"/>
      <c r="F614" s="4"/>
    </row>
    <row r="615" spans="1:6" x14ac:dyDescent="0.2">
      <c r="A615" s="4"/>
      <c r="B615" s="4"/>
      <c r="C615" s="4"/>
      <c r="D615" s="4"/>
      <c r="E615" s="4"/>
      <c r="F615" s="4"/>
    </row>
    <row r="616" spans="1:6" x14ac:dyDescent="0.2">
      <c r="A616" s="4"/>
      <c r="B616" s="4"/>
      <c r="C616" s="4"/>
      <c r="D616" s="4"/>
      <c r="E616" s="4"/>
      <c r="F616" s="4"/>
    </row>
    <row r="617" spans="1:6" x14ac:dyDescent="0.2">
      <c r="A617" s="4"/>
      <c r="B617" s="4"/>
      <c r="C617" s="4"/>
      <c r="D617" s="4"/>
      <c r="E617" s="4"/>
      <c r="F617" s="4"/>
    </row>
    <row r="618" spans="1:6" x14ac:dyDescent="0.2">
      <c r="A618" s="4"/>
      <c r="B618" s="4"/>
      <c r="C618" s="4"/>
      <c r="D618" s="4"/>
      <c r="E618" s="4"/>
      <c r="F618" s="4"/>
    </row>
    <row r="619" spans="1:6" x14ac:dyDescent="0.2">
      <c r="A619" s="4"/>
      <c r="B619" s="4"/>
      <c r="C619" s="4"/>
      <c r="D619" s="4"/>
      <c r="E619" s="4"/>
      <c r="F619" s="4"/>
    </row>
    <row r="620" spans="1:6" x14ac:dyDescent="0.2">
      <c r="A620" s="4"/>
      <c r="B620" s="4"/>
      <c r="C620" s="4"/>
      <c r="D620" s="4"/>
      <c r="E620" s="4"/>
      <c r="F620" s="4"/>
    </row>
    <row r="621" spans="1:6" x14ac:dyDescent="0.2">
      <c r="A621" s="4"/>
      <c r="B621" s="4"/>
      <c r="C621" s="4"/>
      <c r="D621" s="4"/>
      <c r="E621" s="4"/>
      <c r="F621" s="4"/>
    </row>
    <row r="622" spans="1:6" x14ac:dyDescent="0.2">
      <c r="A622" s="4"/>
      <c r="B622" s="4"/>
      <c r="C622" s="4"/>
      <c r="D622" s="4"/>
      <c r="E622" s="4"/>
      <c r="F622" s="4"/>
    </row>
    <row r="623" spans="1:6" x14ac:dyDescent="0.2">
      <c r="A623" s="4"/>
      <c r="B623" s="4"/>
      <c r="C623" s="4"/>
      <c r="D623" s="4"/>
      <c r="E623" s="4"/>
      <c r="F623" s="4"/>
    </row>
    <row r="624" spans="1:6" x14ac:dyDescent="0.2">
      <c r="A624" s="4"/>
      <c r="B624" s="4"/>
      <c r="C624" s="4"/>
      <c r="D624" s="4"/>
      <c r="E624" s="4"/>
      <c r="F624" s="4"/>
    </row>
    <row r="625" spans="1:6" x14ac:dyDescent="0.2">
      <c r="A625" s="4"/>
      <c r="B625" s="4"/>
      <c r="C625" s="4"/>
      <c r="D625" s="4"/>
      <c r="E625" s="4"/>
      <c r="F625" s="4"/>
    </row>
    <row r="626" spans="1:6" x14ac:dyDescent="0.2">
      <c r="A626" s="4"/>
      <c r="B626" s="4"/>
      <c r="C626" s="4"/>
      <c r="D626" s="4"/>
      <c r="E626" s="4"/>
      <c r="F626" s="4"/>
    </row>
    <row r="627" spans="1:6" x14ac:dyDescent="0.2">
      <c r="A627" s="4"/>
      <c r="B627" s="4"/>
      <c r="C627" s="4"/>
      <c r="D627" s="4"/>
      <c r="E627" s="4"/>
      <c r="F627" s="4"/>
    </row>
    <row r="628" spans="1:6" x14ac:dyDescent="0.2">
      <c r="A628" s="4"/>
      <c r="B628" s="4"/>
      <c r="C628" s="4"/>
      <c r="D628" s="4"/>
      <c r="E628" s="4"/>
      <c r="F628" s="4"/>
    </row>
    <row r="629" spans="1:6" x14ac:dyDescent="0.2">
      <c r="A629" s="4"/>
      <c r="B629" s="4"/>
      <c r="C629" s="4"/>
      <c r="D629" s="4"/>
      <c r="E629" s="4"/>
      <c r="F629" s="4"/>
    </row>
    <row r="630" spans="1:6" x14ac:dyDescent="0.2">
      <c r="A630" s="4"/>
      <c r="B630" s="4"/>
      <c r="C630" s="4"/>
      <c r="D630" s="4"/>
      <c r="E630" s="4"/>
      <c r="F630" s="4"/>
    </row>
    <row r="631" spans="1:6" x14ac:dyDescent="0.2">
      <c r="A631" s="4"/>
      <c r="B631" s="4"/>
      <c r="C631" s="4"/>
      <c r="D631" s="4"/>
      <c r="E631" s="4"/>
      <c r="F631" s="4"/>
    </row>
    <row r="632" spans="1:6" x14ac:dyDescent="0.2">
      <c r="A632" s="4"/>
      <c r="B632" s="4"/>
      <c r="C632" s="4"/>
      <c r="D632" s="4"/>
      <c r="E632" s="4"/>
      <c r="F632" s="4"/>
    </row>
    <row r="633" spans="1:6" x14ac:dyDescent="0.2">
      <c r="A633" s="4"/>
      <c r="B633" s="4"/>
      <c r="C633" s="4"/>
      <c r="D633" s="4"/>
      <c r="E633" s="4"/>
      <c r="F633" s="4"/>
    </row>
    <row r="634" spans="1:6" x14ac:dyDescent="0.2">
      <c r="A634" s="4"/>
      <c r="B634" s="4"/>
      <c r="C634" s="4"/>
      <c r="D634" s="4"/>
      <c r="E634" s="4"/>
      <c r="F634" s="4"/>
    </row>
    <row r="635" spans="1:6" x14ac:dyDescent="0.2">
      <c r="A635" s="4"/>
      <c r="B635" s="4"/>
      <c r="C635" s="4"/>
      <c r="D635" s="4"/>
      <c r="E635" s="4"/>
      <c r="F635" s="4"/>
    </row>
    <row r="636" spans="1:6" x14ac:dyDescent="0.2">
      <c r="A636" s="4"/>
      <c r="B636" s="4"/>
      <c r="C636" s="4"/>
      <c r="D636" s="4"/>
      <c r="E636" s="4"/>
      <c r="F636" s="4"/>
    </row>
    <row r="637" spans="1:6" x14ac:dyDescent="0.2">
      <c r="A637" s="4"/>
      <c r="B637" s="4"/>
      <c r="C637" s="4"/>
      <c r="D637" s="4"/>
      <c r="E637" s="4"/>
      <c r="F637" s="4"/>
    </row>
    <row r="638" spans="1:6" x14ac:dyDescent="0.2">
      <c r="A638" s="4"/>
      <c r="B638" s="4"/>
      <c r="C638" s="4"/>
      <c r="D638" s="4"/>
      <c r="E638" s="4"/>
      <c r="F638" s="4"/>
    </row>
    <row r="639" spans="1:6" x14ac:dyDescent="0.2">
      <c r="A639" s="4"/>
      <c r="B639" s="4"/>
      <c r="C639" s="4"/>
      <c r="D639" s="4"/>
      <c r="E639" s="4"/>
      <c r="F639" s="4"/>
    </row>
    <row r="640" spans="1:6" x14ac:dyDescent="0.2">
      <c r="A640" s="4"/>
      <c r="B640" s="4"/>
      <c r="C640" s="4"/>
      <c r="D640" s="4"/>
      <c r="E640" s="4"/>
      <c r="F640" s="4"/>
    </row>
    <row r="641" spans="1:6" x14ac:dyDescent="0.2">
      <c r="A641" s="4"/>
      <c r="B641" s="4"/>
      <c r="C641" s="4"/>
      <c r="D641" s="4"/>
      <c r="E641" s="4"/>
      <c r="F641" s="4"/>
    </row>
    <row r="642" spans="1:6" x14ac:dyDescent="0.2">
      <c r="A642" s="4"/>
      <c r="B642" s="4"/>
      <c r="C642" s="4"/>
      <c r="D642" s="4"/>
      <c r="E642" s="4"/>
      <c r="F642" s="4"/>
    </row>
    <row r="643" spans="1:6" x14ac:dyDescent="0.2">
      <c r="A643" s="4"/>
      <c r="B643" s="4"/>
      <c r="C643" s="4"/>
      <c r="D643" s="4"/>
      <c r="E643" s="4"/>
      <c r="F643" s="4"/>
    </row>
    <row r="644" spans="1:6" x14ac:dyDescent="0.2">
      <c r="A644" s="4"/>
      <c r="B644" s="4"/>
      <c r="C644" s="4"/>
      <c r="D644" s="4"/>
      <c r="E644" s="4"/>
      <c r="F644" s="4"/>
    </row>
    <row r="645" spans="1:6" x14ac:dyDescent="0.2">
      <c r="A645" s="4"/>
      <c r="B645" s="4"/>
      <c r="C645" s="4"/>
      <c r="D645" s="4"/>
      <c r="E645" s="4"/>
      <c r="F645" s="4"/>
    </row>
    <row r="646" spans="1:6" x14ac:dyDescent="0.2">
      <c r="A646" s="4"/>
      <c r="B646" s="4"/>
      <c r="C646" s="4"/>
      <c r="D646" s="4"/>
      <c r="E646" s="4"/>
      <c r="F646" s="4"/>
    </row>
    <row r="647" spans="1:6" x14ac:dyDescent="0.2">
      <c r="A647" s="4"/>
      <c r="B647" s="4"/>
      <c r="C647" s="4"/>
      <c r="D647" s="4"/>
      <c r="E647" s="4"/>
      <c r="F647" s="4"/>
    </row>
    <row r="648" spans="1:6" x14ac:dyDescent="0.2">
      <c r="A648" s="4"/>
      <c r="B648" s="4"/>
      <c r="C648" s="4"/>
      <c r="D648" s="4"/>
      <c r="E648" s="4"/>
      <c r="F648" s="4"/>
    </row>
    <row r="649" spans="1:6" x14ac:dyDescent="0.2">
      <c r="A649" s="4"/>
      <c r="B649" s="4"/>
      <c r="C649" s="4"/>
      <c r="D649" s="4"/>
      <c r="E649" s="4"/>
      <c r="F649" s="4"/>
    </row>
    <row r="650" spans="1:6" x14ac:dyDescent="0.2">
      <c r="A650" s="4"/>
      <c r="B650" s="4"/>
      <c r="C650" s="4"/>
      <c r="D650" s="4"/>
      <c r="E650" s="4"/>
      <c r="F650" s="4"/>
    </row>
    <row r="651" spans="1:6" x14ac:dyDescent="0.2">
      <c r="A651" s="4"/>
      <c r="B651" s="4"/>
      <c r="C651" s="4"/>
      <c r="D651" s="4"/>
      <c r="E651" s="4"/>
      <c r="F651" s="4"/>
    </row>
    <row r="652" spans="1:6" x14ac:dyDescent="0.2">
      <c r="A652" s="4"/>
      <c r="B652" s="4"/>
      <c r="C652" s="4"/>
      <c r="D652" s="4"/>
      <c r="E652" s="4"/>
      <c r="F652" s="4"/>
    </row>
    <row r="653" spans="1:6" x14ac:dyDescent="0.2">
      <c r="A653" s="4"/>
      <c r="B653" s="4"/>
      <c r="C653" s="4"/>
      <c r="D653" s="4"/>
      <c r="E653" s="4"/>
      <c r="F653" s="4"/>
    </row>
    <row r="654" spans="1:6" x14ac:dyDescent="0.2">
      <c r="A654" s="4"/>
      <c r="B654" s="4"/>
      <c r="C654" s="4"/>
      <c r="D654" s="4"/>
      <c r="E654" s="4"/>
      <c r="F654" s="4"/>
    </row>
    <row r="655" spans="1:6" x14ac:dyDescent="0.2">
      <c r="A655" s="4"/>
      <c r="B655" s="4"/>
      <c r="C655" s="4"/>
      <c r="D655" s="4"/>
      <c r="E655" s="4"/>
      <c r="F655" s="4"/>
    </row>
    <row r="656" spans="1:6" x14ac:dyDescent="0.2">
      <c r="A656" s="4"/>
      <c r="B656" s="4"/>
      <c r="C656" s="4"/>
      <c r="D656" s="4"/>
      <c r="E656" s="4"/>
      <c r="F656" s="4"/>
    </row>
    <row r="657" spans="1:6" x14ac:dyDescent="0.2">
      <c r="A657" s="4"/>
      <c r="B657" s="4"/>
      <c r="C657" s="4"/>
      <c r="D657" s="4"/>
      <c r="E657" s="4"/>
      <c r="F657" s="4"/>
    </row>
    <row r="658" spans="1:6" x14ac:dyDescent="0.2">
      <c r="A658" s="4"/>
      <c r="B658" s="4"/>
      <c r="C658" s="4"/>
      <c r="D658" s="4"/>
      <c r="E658" s="4"/>
      <c r="F658" s="4"/>
    </row>
    <row r="659" spans="1:6" x14ac:dyDescent="0.2">
      <c r="A659" s="4"/>
      <c r="B659" s="4"/>
      <c r="C659" s="4"/>
      <c r="D659" s="4"/>
      <c r="E659" s="4"/>
      <c r="F659" s="4"/>
    </row>
    <row r="660" spans="1:6" x14ac:dyDescent="0.2">
      <c r="A660" s="4"/>
      <c r="B660" s="4"/>
      <c r="C660" s="4"/>
      <c r="D660" s="4"/>
      <c r="E660" s="4"/>
      <c r="F660" s="4"/>
    </row>
    <row r="661" spans="1:6" x14ac:dyDescent="0.2">
      <c r="A661" s="4"/>
      <c r="B661" s="4"/>
      <c r="C661" s="4"/>
      <c r="D661" s="4"/>
      <c r="E661" s="4"/>
      <c r="F661" s="4"/>
    </row>
    <row r="662" spans="1:6" x14ac:dyDescent="0.2">
      <c r="A662" s="4"/>
      <c r="B662" s="4"/>
      <c r="C662" s="4"/>
      <c r="D662" s="4"/>
      <c r="E662" s="4"/>
      <c r="F662" s="4"/>
    </row>
    <row r="663" spans="1:6" x14ac:dyDescent="0.2">
      <c r="A663" s="4"/>
      <c r="B663" s="4"/>
      <c r="C663" s="4"/>
      <c r="D663" s="4"/>
      <c r="E663" s="4"/>
      <c r="F663" s="4"/>
    </row>
    <row r="664" spans="1:6" x14ac:dyDescent="0.2">
      <c r="A664" s="4"/>
      <c r="B664" s="4"/>
      <c r="C664" s="4"/>
      <c r="D664" s="4"/>
      <c r="E664" s="4"/>
      <c r="F664" s="4"/>
    </row>
    <row r="665" spans="1:6" x14ac:dyDescent="0.2">
      <c r="A665" s="4"/>
      <c r="B665" s="4"/>
      <c r="C665" s="4"/>
      <c r="D665" s="4"/>
      <c r="E665" s="4"/>
      <c r="F665" s="4"/>
    </row>
    <row r="666" spans="1:6" x14ac:dyDescent="0.2">
      <c r="A666" s="4"/>
      <c r="B666" s="4"/>
      <c r="C666" s="4"/>
      <c r="D666" s="4"/>
      <c r="E666" s="4"/>
      <c r="F666" s="4"/>
    </row>
    <row r="667" spans="1:6" x14ac:dyDescent="0.2">
      <c r="A667" s="4"/>
      <c r="B667" s="4"/>
      <c r="C667" s="4"/>
      <c r="D667" s="4"/>
      <c r="E667" s="4"/>
      <c r="F667" s="4"/>
    </row>
    <row r="668" spans="1:6" x14ac:dyDescent="0.2">
      <c r="A668" s="4"/>
      <c r="B668" s="4"/>
      <c r="C668" s="4"/>
      <c r="D668" s="4"/>
      <c r="E668" s="4"/>
      <c r="F668" s="4"/>
    </row>
    <row r="669" spans="1:6" x14ac:dyDescent="0.2">
      <c r="A669" s="4"/>
      <c r="B669" s="4"/>
      <c r="C669" s="4"/>
      <c r="D669" s="4"/>
      <c r="E669" s="4"/>
      <c r="F669" s="4"/>
    </row>
    <row r="670" spans="1:6" x14ac:dyDescent="0.2">
      <c r="A670" s="4"/>
      <c r="B670" s="4"/>
      <c r="C670" s="4"/>
      <c r="D670" s="4"/>
      <c r="E670" s="4"/>
      <c r="F670" s="4"/>
    </row>
    <row r="671" spans="1:6" x14ac:dyDescent="0.2">
      <c r="A671" s="4"/>
      <c r="B671" s="4"/>
      <c r="C671" s="4"/>
      <c r="D671" s="4"/>
      <c r="E671" s="4"/>
      <c r="F671" s="4"/>
    </row>
    <row r="672" spans="1:6" x14ac:dyDescent="0.2">
      <c r="A672" s="4"/>
      <c r="B672" s="4"/>
      <c r="C672" s="4"/>
      <c r="D672" s="4"/>
      <c r="E672" s="4"/>
      <c r="F672" s="4"/>
    </row>
    <row r="673" spans="1:6" x14ac:dyDescent="0.2">
      <c r="A673" s="4"/>
      <c r="B673" s="4"/>
      <c r="C673" s="4"/>
      <c r="D673" s="4"/>
      <c r="E673" s="4"/>
      <c r="F673" s="4"/>
    </row>
    <row r="674" spans="1:6" x14ac:dyDescent="0.2">
      <c r="A674" s="4"/>
      <c r="B674" s="4"/>
      <c r="C674" s="4"/>
      <c r="D674" s="4"/>
      <c r="E674" s="4"/>
      <c r="F674" s="4"/>
    </row>
    <row r="675" spans="1:6" x14ac:dyDescent="0.2">
      <c r="A675" s="4"/>
      <c r="B675" s="4"/>
      <c r="C675" s="4"/>
      <c r="D675" s="4"/>
      <c r="E675" s="4"/>
      <c r="F675" s="4"/>
    </row>
    <row r="676" spans="1:6" x14ac:dyDescent="0.2">
      <c r="A676" s="4"/>
      <c r="B676" s="4"/>
      <c r="C676" s="4"/>
      <c r="D676" s="4"/>
      <c r="E676" s="4"/>
      <c r="F676" s="4"/>
    </row>
    <row r="677" spans="1:6" x14ac:dyDescent="0.2">
      <c r="A677" s="4"/>
      <c r="B677" s="4"/>
      <c r="C677" s="4"/>
      <c r="D677" s="4"/>
      <c r="E677" s="4"/>
      <c r="F677" s="4"/>
    </row>
    <row r="678" spans="1:6" x14ac:dyDescent="0.2">
      <c r="A678" s="4"/>
      <c r="B678" s="4"/>
      <c r="C678" s="4"/>
      <c r="D678" s="4"/>
      <c r="E678" s="4"/>
      <c r="F678" s="4"/>
    </row>
    <row r="679" spans="1:6" x14ac:dyDescent="0.2">
      <c r="A679" s="4"/>
      <c r="B679" s="4"/>
      <c r="C679" s="4"/>
      <c r="D679" s="4"/>
      <c r="E679" s="4"/>
      <c r="F679" s="4"/>
    </row>
    <row r="680" spans="1:6" x14ac:dyDescent="0.2">
      <c r="A680" s="4"/>
      <c r="B680" s="4"/>
      <c r="C680" s="4"/>
      <c r="D680" s="4"/>
      <c r="E680" s="4"/>
      <c r="F680" s="4"/>
    </row>
    <row r="681" spans="1:6" x14ac:dyDescent="0.2">
      <c r="A681" s="4"/>
      <c r="B681" s="4"/>
      <c r="C681" s="4"/>
      <c r="D681" s="4"/>
      <c r="E681" s="4"/>
      <c r="F681" s="4"/>
    </row>
    <row r="682" spans="1:6" x14ac:dyDescent="0.2">
      <c r="A682" s="4"/>
      <c r="B682" s="4"/>
      <c r="C682" s="4"/>
      <c r="D682" s="4"/>
      <c r="E682" s="4"/>
      <c r="F682" s="4"/>
    </row>
    <row r="683" spans="1:6" x14ac:dyDescent="0.2">
      <c r="A683" s="4"/>
      <c r="B683" s="4"/>
      <c r="C683" s="4"/>
      <c r="D683" s="4"/>
      <c r="E683" s="4"/>
      <c r="F683" s="4"/>
    </row>
    <row r="684" spans="1:6" x14ac:dyDescent="0.2">
      <c r="A684" s="4"/>
      <c r="B684" s="4"/>
      <c r="C684" s="4"/>
      <c r="D684" s="4"/>
      <c r="E684" s="4"/>
      <c r="F684" s="4"/>
    </row>
    <row r="685" spans="1:6" x14ac:dyDescent="0.2">
      <c r="A685" s="4"/>
      <c r="B685" s="4"/>
      <c r="C685" s="4"/>
      <c r="D685" s="4"/>
      <c r="E685" s="4"/>
      <c r="F685" s="4"/>
    </row>
    <row r="686" spans="1:6" x14ac:dyDescent="0.2">
      <c r="A686" s="4"/>
      <c r="B686" s="4"/>
      <c r="C686" s="4"/>
      <c r="D686" s="4"/>
      <c r="E686" s="4"/>
      <c r="F686" s="4"/>
    </row>
    <row r="687" spans="1:6" x14ac:dyDescent="0.2">
      <c r="A687" s="4"/>
      <c r="B687" s="4"/>
      <c r="C687" s="4"/>
      <c r="D687" s="4"/>
      <c r="E687" s="4"/>
      <c r="F687" s="4"/>
    </row>
    <row r="688" spans="1:6" x14ac:dyDescent="0.2">
      <c r="A688" s="4"/>
      <c r="B688" s="4"/>
      <c r="C688" s="4"/>
      <c r="D688" s="4"/>
      <c r="E688" s="4"/>
      <c r="F688" s="4"/>
    </row>
    <row r="689" spans="1:6" x14ac:dyDescent="0.2">
      <c r="A689" s="4"/>
      <c r="B689" s="4"/>
      <c r="C689" s="4"/>
      <c r="D689" s="4"/>
      <c r="E689" s="4"/>
      <c r="F689" s="4"/>
    </row>
    <row r="690" spans="1:6" x14ac:dyDescent="0.2">
      <c r="A690" s="4"/>
      <c r="B690" s="4"/>
      <c r="C690" s="4"/>
      <c r="D690" s="4"/>
      <c r="E690" s="4"/>
      <c r="F690" s="4"/>
    </row>
    <row r="691" spans="1:6" x14ac:dyDescent="0.2">
      <c r="A691" s="4"/>
      <c r="B691" s="4"/>
      <c r="C691" s="4"/>
      <c r="D691" s="4"/>
      <c r="E691" s="4"/>
      <c r="F691" s="4"/>
    </row>
    <row r="692" spans="1:6" x14ac:dyDescent="0.2">
      <c r="A692" s="4"/>
      <c r="B692" s="4"/>
      <c r="C692" s="4"/>
      <c r="D692" s="4"/>
      <c r="E692" s="4"/>
      <c r="F692" s="4"/>
    </row>
    <row r="693" spans="1:6" x14ac:dyDescent="0.2">
      <c r="A693" s="4"/>
      <c r="B693" s="4"/>
      <c r="C693" s="4"/>
      <c r="D693" s="4"/>
      <c r="E693" s="4"/>
      <c r="F693" s="4"/>
    </row>
    <row r="694" spans="1:6" x14ac:dyDescent="0.2">
      <c r="A694" s="4"/>
      <c r="B694" s="4"/>
      <c r="C694" s="4"/>
      <c r="D694" s="4"/>
      <c r="E694" s="4"/>
      <c r="F694" s="4"/>
    </row>
    <row r="695" spans="1:6" x14ac:dyDescent="0.2">
      <c r="A695" s="4"/>
      <c r="B695" s="4"/>
      <c r="C695" s="4"/>
      <c r="D695" s="4"/>
      <c r="E695" s="4"/>
      <c r="F695" s="4"/>
    </row>
    <row r="696" spans="1:6" x14ac:dyDescent="0.2">
      <c r="A696" s="4"/>
      <c r="B696" s="4"/>
      <c r="C696" s="4"/>
      <c r="D696" s="4"/>
      <c r="E696" s="4"/>
      <c r="F696" s="4"/>
    </row>
    <row r="697" spans="1:6" x14ac:dyDescent="0.2">
      <c r="A697" s="4"/>
      <c r="B697" s="4"/>
      <c r="C697" s="4"/>
      <c r="D697" s="4"/>
      <c r="E697" s="4"/>
      <c r="F697" s="4"/>
    </row>
    <row r="698" spans="1:6" x14ac:dyDescent="0.2">
      <c r="A698" s="4"/>
      <c r="B698" s="4"/>
      <c r="C698" s="4"/>
      <c r="D698" s="4"/>
      <c r="E698" s="4"/>
      <c r="F698" s="4"/>
    </row>
    <row r="699" spans="1:6" x14ac:dyDescent="0.2">
      <c r="A699" s="4"/>
      <c r="B699" s="4"/>
      <c r="C699" s="4"/>
      <c r="D699" s="4"/>
      <c r="E699" s="4"/>
      <c r="F699" s="4"/>
    </row>
    <row r="700" spans="1:6" x14ac:dyDescent="0.2">
      <c r="A700" s="4"/>
      <c r="B700" s="4"/>
      <c r="C700" s="4"/>
      <c r="D700" s="4"/>
      <c r="E700" s="4"/>
      <c r="F700" s="4"/>
    </row>
    <row r="701" spans="1:6" x14ac:dyDescent="0.2">
      <c r="A701" s="4"/>
      <c r="B701" s="4"/>
      <c r="C701" s="4"/>
      <c r="D701" s="4"/>
      <c r="E701" s="4"/>
      <c r="F701" s="4"/>
    </row>
    <row r="702" spans="1:6" x14ac:dyDescent="0.2">
      <c r="A702" s="4"/>
      <c r="B702" s="4"/>
      <c r="C702" s="4"/>
      <c r="D702" s="4"/>
      <c r="E702" s="4"/>
      <c r="F702" s="4"/>
    </row>
    <row r="703" spans="1:6" x14ac:dyDescent="0.2">
      <c r="A703" s="4"/>
      <c r="B703" s="4"/>
      <c r="C703" s="4"/>
      <c r="D703" s="4"/>
      <c r="E703" s="4"/>
      <c r="F703" s="4"/>
    </row>
    <row r="704" spans="1:6" x14ac:dyDescent="0.2">
      <c r="A704" s="4"/>
      <c r="B704" s="4"/>
      <c r="C704" s="4"/>
      <c r="D704" s="4"/>
      <c r="E704" s="4"/>
      <c r="F704" s="4"/>
    </row>
    <row r="705" spans="1:6" x14ac:dyDescent="0.2">
      <c r="A705" s="4"/>
      <c r="B705" s="4"/>
      <c r="C705" s="4"/>
      <c r="D705" s="4"/>
      <c r="E705" s="4"/>
      <c r="F705" s="4"/>
    </row>
    <row r="706" spans="1:6" x14ac:dyDescent="0.2">
      <c r="A706" s="4"/>
      <c r="B706" s="4"/>
      <c r="C706" s="4"/>
      <c r="D706" s="4"/>
      <c r="E706" s="4"/>
      <c r="F706" s="4"/>
    </row>
    <row r="707" spans="1:6" x14ac:dyDescent="0.2">
      <c r="A707" s="4"/>
      <c r="B707" s="4"/>
      <c r="C707" s="4"/>
      <c r="D707" s="4"/>
      <c r="E707" s="4"/>
      <c r="F707" s="4"/>
    </row>
    <row r="708" spans="1:6" x14ac:dyDescent="0.2">
      <c r="A708" s="4"/>
      <c r="B708" s="4"/>
      <c r="C708" s="4"/>
      <c r="D708" s="4"/>
      <c r="E708" s="4"/>
      <c r="F708" s="4"/>
    </row>
    <row r="709" spans="1:6" x14ac:dyDescent="0.2">
      <c r="A709" s="4"/>
      <c r="B709" s="4"/>
      <c r="C709" s="4"/>
      <c r="D709" s="4"/>
      <c r="E709" s="4"/>
      <c r="F709" s="4"/>
    </row>
    <row r="710" spans="1:6" x14ac:dyDescent="0.2">
      <c r="A710" s="4"/>
      <c r="B710" s="4"/>
      <c r="C710" s="4"/>
      <c r="D710" s="4"/>
      <c r="E710" s="4"/>
      <c r="F710" s="4"/>
    </row>
    <row r="711" spans="1:6" x14ac:dyDescent="0.2">
      <c r="A711" s="4"/>
      <c r="B711" s="4"/>
      <c r="C711" s="4"/>
      <c r="D711" s="4"/>
      <c r="E711" s="4"/>
      <c r="F711" s="4"/>
    </row>
    <row r="712" spans="1:6" x14ac:dyDescent="0.2">
      <c r="A712" s="4"/>
      <c r="B712" s="4"/>
      <c r="C712" s="4"/>
      <c r="D712" s="4"/>
      <c r="E712" s="4"/>
      <c r="F712" s="4"/>
    </row>
    <row r="713" spans="1:6" x14ac:dyDescent="0.2">
      <c r="A713" s="4"/>
      <c r="B713" s="4"/>
      <c r="C713" s="4"/>
      <c r="D713" s="4"/>
      <c r="E713" s="4"/>
      <c r="F713" s="4"/>
    </row>
    <row r="714" spans="1:6" x14ac:dyDescent="0.2">
      <c r="A714" s="4"/>
      <c r="B714" s="4"/>
      <c r="C714" s="4"/>
      <c r="D714" s="4"/>
      <c r="E714" s="4"/>
      <c r="F714" s="4"/>
    </row>
    <row r="715" spans="1:6" x14ac:dyDescent="0.2">
      <c r="A715" s="4"/>
      <c r="B715" s="4"/>
      <c r="C715" s="4"/>
      <c r="D715" s="4"/>
      <c r="E715" s="4"/>
      <c r="F715" s="4"/>
    </row>
    <row r="716" spans="1:6" x14ac:dyDescent="0.2">
      <c r="A716" s="4"/>
      <c r="B716" s="4"/>
      <c r="C716" s="4"/>
      <c r="D716" s="4"/>
      <c r="E716" s="4"/>
      <c r="F716" s="4"/>
    </row>
    <row r="717" spans="1:6" x14ac:dyDescent="0.2">
      <c r="A717" s="4"/>
      <c r="B717" s="4"/>
      <c r="C717" s="4"/>
      <c r="D717" s="4"/>
      <c r="E717" s="4"/>
      <c r="F717" s="4"/>
    </row>
    <row r="718" spans="1:6" x14ac:dyDescent="0.2">
      <c r="A718" s="4"/>
      <c r="B718" s="4"/>
      <c r="C718" s="4"/>
      <c r="D718" s="4"/>
      <c r="E718" s="4"/>
      <c r="F718" s="4"/>
    </row>
    <row r="719" spans="1:6" x14ac:dyDescent="0.2">
      <c r="A719" s="4"/>
      <c r="B719" s="4"/>
      <c r="C719" s="4"/>
      <c r="D719" s="4"/>
      <c r="E719" s="4"/>
      <c r="F719" s="4"/>
    </row>
    <row r="720" spans="1:6" x14ac:dyDescent="0.2">
      <c r="A720" s="4"/>
      <c r="B720" s="4"/>
      <c r="C720" s="4"/>
      <c r="D720" s="4"/>
      <c r="E720" s="4"/>
      <c r="F720" s="4"/>
    </row>
    <row r="721" spans="1:6" x14ac:dyDescent="0.2">
      <c r="A721" s="4"/>
      <c r="B721" s="4"/>
      <c r="C721" s="4"/>
      <c r="D721" s="4"/>
      <c r="E721" s="4"/>
      <c r="F721" s="4"/>
    </row>
    <row r="722" spans="1:6" x14ac:dyDescent="0.2">
      <c r="A722" s="4"/>
      <c r="B722" s="4"/>
      <c r="C722" s="4"/>
      <c r="D722" s="4"/>
      <c r="E722" s="4"/>
      <c r="F722" s="4"/>
    </row>
    <row r="723" spans="1:6" x14ac:dyDescent="0.2">
      <c r="A723" s="4"/>
      <c r="B723" s="4"/>
      <c r="C723" s="4"/>
      <c r="D723" s="4"/>
      <c r="E723" s="4"/>
      <c r="F723" s="4"/>
    </row>
    <row r="724" spans="1:6" x14ac:dyDescent="0.2">
      <c r="A724" s="4"/>
      <c r="B724" s="4"/>
      <c r="C724" s="4"/>
      <c r="D724" s="4"/>
      <c r="E724" s="4"/>
      <c r="F724" s="4"/>
    </row>
    <row r="725" spans="1:6" x14ac:dyDescent="0.2">
      <c r="A725" s="4"/>
      <c r="B725" s="4"/>
      <c r="C725" s="4"/>
      <c r="D725" s="4"/>
      <c r="E725" s="4"/>
      <c r="F725" s="4"/>
    </row>
    <row r="726" spans="1:6" x14ac:dyDescent="0.2">
      <c r="A726" s="4"/>
      <c r="B726" s="4"/>
      <c r="C726" s="4"/>
      <c r="D726" s="4"/>
      <c r="E726" s="4"/>
      <c r="F726" s="4"/>
    </row>
    <row r="727" spans="1:6" x14ac:dyDescent="0.2">
      <c r="A727" s="4"/>
      <c r="B727" s="4"/>
      <c r="C727" s="4"/>
      <c r="D727" s="4"/>
      <c r="E727" s="4"/>
      <c r="F727" s="4"/>
    </row>
    <row r="728" spans="1:6" x14ac:dyDescent="0.2">
      <c r="A728" s="4"/>
      <c r="B728" s="4"/>
      <c r="C728" s="4"/>
      <c r="D728" s="4"/>
      <c r="E728" s="4"/>
      <c r="F728" s="4"/>
    </row>
    <row r="729" spans="1:6" x14ac:dyDescent="0.2">
      <c r="A729" s="4"/>
      <c r="B729" s="4"/>
      <c r="C729" s="4"/>
      <c r="D729" s="4"/>
      <c r="E729" s="4"/>
      <c r="F729" s="4"/>
    </row>
    <row r="730" spans="1:6" x14ac:dyDescent="0.2">
      <c r="A730" s="4"/>
      <c r="B730" s="4"/>
      <c r="C730" s="4"/>
      <c r="D730" s="4"/>
      <c r="E730" s="4"/>
      <c r="F730" s="4"/>
    </row>
    <row r="731" spans="1:6" x14ac:dyDescent="0.2">
      <c r="A731" s="4"/>
      <c r="B731" s="4"/>
      <c r="C731" s="4"/>
      <c r="D731" s="4"/>
      <c r="E731" s="4"/>
      <c r="F731" s="4"/>
    </row>
    <row r="732" spans="1:6" x14ac:dyDescent="0.2">
      <c r="A732" s="4"/>
      <c r="B732" s="4"/>
      <c r="C732" s="4"/>
      <c r="D732" s="4"/>
      <c r="E732" s="4"/>
      <c r="F732" s="4"/>
    </row>
    <row r="733" spans="1:6" x14ac:dyDescent="0.2">
      <c r="A733" s="4"/>
      <c r="B733" s="4"/>
      <c r="C733" s="4"/>
      <c r="D733" s="4"/>
      <c r="E733" s="4"/>
      <c r="F733" s="4"/>
    </row>
    <row r="734" spans="1:6" x14ac:dyDescent="0.2">
      <c r="A734" s="4"/>
      <c r="B734" s="4"/>
      <c r="C734" s="4"/>
      <c r="D734" s="4"/>
      <c r="E734" s="4"/>
      <c r="F734" s="4"/>
    </row>
    <row r="735" spans="1:6" x14ac:dyDescent="0.2">
      <c r="A735" s="4"/>
      <c r="B735" s="4"/>
      <c r="C735" s="4"/>
      <c r="D735" s="4"/>
      <c r="E735" s="4"/>
      <c r="F735" s="4"/>
    </row>
    <row r="736" spans="1:6" x14ac:dyDescent="0.2">
      <c r="A736" s="4"/>
      <c r="B736" s="4"/>
      <c r="C736" s="4"/>
      <c r="D736" s="4"/>
      <c r="E736" s="4"/>
      <c r="F736" s="4"/>
    </row>
    <row r="737" spans="1:6" x14ac:dyDescent="0.2">
      <c r="A737" s="4"/>
      <c r="B737" s="4"/>
      <c r="C737" s="4"/>
      <c r="D737" s="4"/>
      <c r="E737" s="4"/>
      <c r="F737" s="4"/>
    </row>
    <row r="738" spans="1:6" x14ac:dyDescent="0.2">
      <c r="A738" s="4"/>
      <c r="B738" s="4"/>
      <c r="C738" s="4"/>
      <c r="D738" s="4"/>
      <c r="E738" s="4"/>
      <c r="F738" s="4"/>
    </row>
    <row r="739" spans="1:6" x14ac:dyDescent="0.2">
      <c r="A739" s="4"/>
      <c r="B739" s="4"/>
      <c r="C739" s="4"/>
      <c r="D739" s="4"/>
      <c r="E739" s="4"/>
      <c r="F739" s="4"/>
    </row>
    <row r="740" spans="1:6" x14ac:dyDescent="0.2">
      <c r="A740" s="4"/>
      <c r="B740" s="4"/>
      <c r="C740" s="4"/>
      <c r="D740" s="4"/>
      <c r="E740" s="4"/>
      <c r="F740" s="4"/>
    </row>
    <row r="741" spans="1:6" x14ac:dyDescent="0.2">
      <c r="A741" s="4"/>
      <c r="B741" s="4"/>
      <c r="C741" s="4"/>
      <c r="D741" s="4"/>
      <c r="E741" s="4"/>
      <c r="F741" s="4"/>
    </row>
    <row r="742" spans="1:6" x14ac:dyDescent="0.2">
      <c r="A742" s="4"/>
      <c r="B742" s="4"/>
      <c r="C742" s="4"/>
      <c r="D742" s="4"/>
      <c r="E742" s="4"/>
      <c r="F742" s="4"/>
    </row>
    <row r="743" spans="1:6" x14ac:dyDescent="0.2">
      <c r="A743" s="4"/>
      <c r="B743" s="4"/>
      <c r="C743" s="4"/>
      <c r="D743" s="4"/>
      <c r="E743" s="4"/>
      <c r="F743" s="4"/>
    </row>
    <row r="744" spans="1:6" x14ac:dyDescent="0.2">
      <c r="A744" s="4"/>
      <c r="B744" s="4"/>
      <c r="C744" s="4"/>
      <c r="D744" s="4"/>
      <c r="E744" s="4"/>
      <c r="F744" s="4"/>
    </row>
    <row r="745" spans="1:6" x14ac:dyDescent="0.2">
      <c r="A745" s="4"/>
      <c r="B745" s="4"/>
      <c r="C745" s="4"/>
      <c r="D745" s="4"/>
      <c r="E745" s="4"/>
      <c r="F745" s="4"/>
    </row>
    <row r="746" spans="1:6" x14ac:dyDescent="0.2">
      <c r="A746" s="4"/>
      <c r="B746" s="4"/>
      <c r="C746" s="4"/>
      <c r="D746" s="4"/>
      <c r="E746" s="4"/>
      <c r="F746" s="4"/>
    </row>
    <row r="747" spans="1:6" x14ac:dyDescent="0.2">
      <c r="A747" s="4"/>
      <c r="B747" s="4"/>
      <c r="C747" s="4"/>
      <c r="D747" s="4"/>
      <c r="E747" s="4"/>
      <c r="F747" s="4"/>
    </row>
    <row r="748" spans="1:6" x14ac:dyDescent="0.2">
      <c r="A748" s="4"/>
      <c r="B748" s="4"/>
      <c r="C748" s="4"/>
      <c r="D748" s="4"/>
      <c r="E748" s="4"/>
      <c r="F748" s="4"/>
    </row>
    <row r="749" spans="1:6" x14ac:dyDescent="0.2">
      <c r="A749" s="4"/>
      <c r="B749" s="4"/>
      <c r="C749" s="4"/>
      <c r="D749" s="4"/>
      <c r="E749" s="4"/>
      <c r="F749" s="4"/>
    </row>
    <row r="750" spans="1:6" x14ac:dyDescent="0.2">
      <c r="A750" s="4"/>
      <c r="B750" s="4"/>
      <c r="C750" s="4"/>
      <c r="D750" s="4"/>
      <c r="E750" s="4"/>
      <c r="F750" s="4"/>
    </row>
    <row r="751" spans="1:6" x14ac:dyDescent="0.2">
      <c r="A751" s="4"/>
      <c r="B751" s="4"/>
      <c r="C751" s="4"/>
      <c r="D751" s="4"/>
      <c r="E751" s="4"/>
      <c r="F751" s="4"/>
    </row>
    <row r="752" spans="1:6" x14ac:dyDescent="0.2">
      <c r="A752" s="4"/>
      <c r="B752" s="4"/>
      <c r="C752" s="4"/>
      <c r="D752" s="4"/>
      <c r="E752" s="4"/>
      <c r="F752" s="4"/>
    </row>
    <row r="753" spans="1:6" x14ac:dyDescent="0.2">
      <c r="A753" s="4"/>
      <c r="B753" s="4"/>
      <c r="C753" s="4"/>
      <c r="D753" s="4"/>
      <c r="E753" s="4"/>
      <c r="F753" s="4"/>
    </row>
    <row r="754" spans="1:6" x14ac:dyDescent="0.2">
      <c r="A754" s="4"/>
      <c r="B754" s="4"/>
      <c r="C754" s="4"/>
      <c r="D754" s="4"/>
      <c r="E754" s="4"/>
      <c r="F754" s="4"/>
    </row>
    <row r="755" spans="1:6" x14ac:dyDescent="0.2">
      <c r="A755" s="4"/>
      <c r="B755" s="4"/>
      <c r="C755" s="4"/>
      <c r="D755" s="4"/>
      <c r="E755" s="4"/>
      <c r="F755" s="4"/>
    </row>
    <row r="756" spans="1:6" x14ac:dyDescent="0.2">
      <c r="A756" s="4"/>
      <c r="B756" s="4"/>
      <c r="C756" s="4"/>
      <c r="D756" s="4"/>
      <c r="E756" s="4"/>
      <c r="F756" s="4"/>
    </row>
    <row r="757" spans="1:6" x14ac:dyDescent="0.2">
      <c r="A757" s="4"/>
      <c r="B757" s="4"/>
      <c r="C757" s="4"/>
      <c r="D757" s="4"/>
      <c r="E757" s="4"/>
      <c r="F757" s="4"/>
    </row>
    <row r="758" spans="1:6" x14ac:dyDescent="0.2">
      <c r="A758" s="4"/>
      <c r="B758" s="4"/>
      <c r="C758" s="4"/>
      <c r="D758" s="4"/>
      <c r="E758" s="4"/>
      <c r="F758" s="4"/>
    </row>
    <row r="759" spans="1:6" x14ac:dyDescent="0.2">
      <c r="A759" s="4"/>
      <c r="B759" s="4"/>
      <c r="C759" s="4"/>
      <c r="D759" s="4"/>
      <c r="E759" s="4"/>
      <c r="F759" s="4"/>
    </row>
    <row r="760" spans="1:6" x14ac:dyDescent="0.2">
      <c r="A760" s="4"/>
      <c r="B760" s="4"/>
      <c r="C760" s="4"/>
      <c r="D760" s="4"/>
      <c r="E760" s="4"/>
      <c r="F760" s="4"/>
    </row>
    <row r="761" spans="1:6" x14ac:dyDescent="0.2">
      <c r="A761" s="4"/>
      <c r="B761" s="4"/>
      <c r="C761" s="4"/>
      <c r="D761" s="4"/>
      <c r="E761" s="4"/>
      <c r="F761" s="4"/>
    </row>
    <row r="762" spans="1:6" x14ac:dyDescent="0.2">
      <c r="A762" s="4"/>
      <c r="B762" s="4"/>
      <c r="C762" s="4"/>
      <c r="D762" s="4"/>
      <c r="E762" s="4"/>
      <c r="F762" s="4"/>
    </row>
    <row r="763" spans="1:6" x14ac:dyDescent="0.2">
      <c r="A763" s="4"/>
      <c r="B763" s="4"/>
      <c r="C763" s="4"/>
      <c r="D763" s="4"/>
      <c r="E763" s="4"/>
      <c r="F763" s="4"/>
    </row>
    <row r="764" spans="1:6" x14ac:dyDescent="0.2">
      <c r="A764" s="4"/>
      <c r="B764" s="4"/>
      <c r="C764" s="4"/>
      <c r="D764" s="4"/>
      <c r="E764" s="4"/>
      <c r="F764" s="4"/>
    </row>
    <row r="765" spans="1:6" x14ac:dyDescent="0.2">
      <c r="A765" s="4"/>
      <c r="B765" s="4"/>
      <c r="C765" s="4"/>
      <c r="D765" s="4"/>
      <c r="E765" s="4"/>
      <c r="F765" s="4"/>
    </row>
    <row r="766" spans="1:6" x14ac:dyDescent="0.2">
      <c r="A766" s="4"/>
      <c r="B766" s="4"/>
      <c r="C766" s="4"/>
      <c r="D766" s="4"/>
      <c r="E766" s="4"/>
      <c r="F766" s="4"/>
    </row>
    <row r="767" spans="1:6" x14ac:dyDescent="0.2">
      <c r="A767" s="4"/>
      <c r="B767" s="4"/>
      <c r="C767" s="4"/>
      <c r="D767" s="4"/>
      <c r="E767" s="4"/>
      <c r="F767" s="4"/>
    </row>
    <row r="768" spans="1:6" x14ac:dyDescent="0.2">
      <c r="A768" s="4"/>
      <c r="B768" s="4"/>
      <c r="C768" s="4"/>
      <c r="D768" s="4"/>
      <c r="E768" s="4"/>
      <c r="F768" s="4"/>
    </row>
    <row r="769" spans="1:6" x14ac:dyDescent="0.2">
      <c r="A769" s="4"/>
      <c r="B769" s="4"/>
      <c r="C769" s="4"/>
      <c r="D769" s="4"/>
      <c r="E769" s="4"/>
      <c r="F769" s="4"/>
    </row>
    <row r="770" spans="1:6" x14ac:dyDescent="0.2">
      <c r="A770" s="4"/>
      <c r="B770" s="4"/>
      <c r="C770" s="4"/>
      <c r="D770" s="4"/>
      <c r="E770" s="4"/>
      <c r="F770" s="4"/>
    </row>
    <row r="771" spans="1:6" x14ac:dyDescent="0.2">
      <c r="A771" s="4"/>
      <c r="B771" s="4"/>
      <c r="C771" s="4"/>
      <c r="D771" s="4"/>
      <c r="E771" s="4"/>
      <c r="F771" s="4"/>
    </row>
    <row r="772" spans="1:6" x14ac:dyDescent="0.2">
      <c r="A772" s="4"/>
      <c r="B772" s="4"/>
      <c r="C772" s="4"/>
      <c r="D772" s="4"/>
      <c r="E772" s="4"/>
      <c r="F772" s="4"/>
    </row>
    <row r="773" spans="1:6" x14ac:dyDescent="0.2">
      <c r="A773" s="4"/>
      <c r="B773" s="4"/>
      <c r="C773" s="4"/>
      <c r="D773" s="4"/>
      <c r="E773" s="4"/>
      <c r="F773" s="4"/>
    </row>
    <row r="774" spans="1:6" x14ac:dyDescent="0.2">
      <c r="A774" s="4"/>
      <c r="B774" s="4"/>
      <c r="C774" s="4"/>
      <c r="D774" s="4"/>
      <c r="E774" s="4"/>
      <c r="F774" s="4"/>
    </row>
    <row r="775" spans="1:6" x14ac:dyDescent="0.2">
      <c r="A775" s="4"/>
      <c r="B775" s="4"/>
      <c r="C775" s="4"/>
      <c r="D775" s="4"/>
      <c r="E775" s="4"/>
      <c r="F775" s="4"/>
    </row>
    <row r="776" spans="1:6" x14ac:dyDescent="0.2">
      <c r="A776" s="4"/>
      <c r="B776" s="4"/>
      <c r="C776" s="4"/>
      <c r="D776" s="4"/>
      <c r="E776" s="4"/>
      <c r="F776" s="4"/>
    </row>
    <row r="777" spans="1:6" x14ac:dyDescent="0.2">
      <c r="A777" s="4"/>
      <c r="B777" s="4"/>
      <c r="C777" s="4"/>
      <c r="D777" s="4"/>
      <c r="E777" s="4"/>
      <c r="F777" s="4"/>
    </row>
    <row r="778" spans="1:6" x14ac:dyDescent="0.2">
      <c r="A778" s="4"/>
      <c r="B778" s="4"/>
      <c r="C778" s="4"/>
      <c r="D778" s="4"/>
      <c r="E778" s="4"/>
      <c r="F778" s="4"/>
    </row>
    <row r="779" spans="1:6" x14ac:dyDescent="0.2">
      <c r="A779" s="4"/>
      <c r="B779" s="4"/>
      <c r="C779" s="4"/>
      <c r="D779" s="4"/>
      <c r="E779" s="4"/>
      <c r="F779" s="4"/>
    </row>
    <row r="780" spans="1:6" x14ac:dyDescent="0.2">
      <c r="A780" s="4"/>
      <c r="B780" s="4"/>
      <c r="C780" s="4"/>
      <c r="D780" s="4"/>
      <c r="E780" s="4"/>
      <c r="F780" s="4"/>
    </row>
    <row r="781" spans="1:6" x14ac:dyDescent="0.2">
      <c r="A781" s="4"/>
      <c r="B781" s="4"/>
      <c r="C781" s="4"/>
      <c r="D781" s="4"/>
      <c r="E781" s="4"/>
      <c r="F781" s="4"/>
    </row>
    <row r="782" spans="1:6" x14ac:dyDescent="0.2">
      <c r="A782" s="4"/>
      <c r="B782" s="4"/>
      <c r="C782" s="4"/>
      <c r="D782" s="4"/>
      <c r="E782" s="4"/>
      <c r="F782" s="4"/>
    </row>
    <row r="783" spans="1:6" x14ac:dyDescent="0.2">
      <c r="A783" s="4"/>
      <c r="B783" s="4"/>
      <c r="C783" s="4"/>
      <c r="D783" s="4"/>
      <c r="E783" s="4"/>
      <c r="F783" s="4"/>
    </row>
    <row r="784" spans="1:6" x14ac:dyDescent="0.2">
      <c r="A784" s="4"/>
      <c r="B784" s="4"/>
      <c r="C784" s="4"/>
      <c r="D784" s="4"/>
      <c r="E784" s="4"/>
      <c r="F784" s="4"/>
    </row>
    <row r="785" spans="1:6" x14ac:dyDescent="0.2">
      <c r="A785" s="4"/>
      <c r="B785" s="4"/>
      <c r="C785" s="4"/>
      <c r="D785" s="4"/>
      <c r="E785" s="4"/>
      <c r="F785" s="4"/>
    </row>
    <row r="786" spans="1:6" x14ac:dyDescent="0.2">
      <c r="A786" s="4"/>
      <c r="B786" s="4"/>
      <c r="C786" s="4"/>
      <c r="D786" s="4"/>
      <c r="E786" s="4"/>
      <c r="F786" s="4"/>
    </row>
    <row r="787" spans="1:6" x14ac:dyDescent="0.2">
      <c r="A787" s="4"/>
      <c r="B787" s="4"/>
      <c r="C787" s="4"/>
      <c r="D787" s="4"/>
      <c r="E787" s="4"/>
      <c r="F787" s="4"/>
    </row>
    <row r="788" spans="1:6" x14ac:dyDescent="0.2">
      <c r="A788" s="4"/>
      <c r="B788" s="4"/>
      <c r="C788" s="4"/>
      <c r="D788" s="4"/>
      <c r="E788" s="4"/>
      <c r="F788" s="4"/>
    </row>
    <row r="789" spans="1:6" x14ac:dyDescent="0.2">
      <c r="A789" s="4"/>
      <c r="B789" s="4"/>
      <c r="C789" s="4"/>
      <c r="D789" s="4"/>
      <c r="E789" s="4"/>
      <c r="F789" s="4"/>
    </row>
    <row r="790" spans="1:6" x14ac:dyDescent="0.2">
      <c r="A790" s="4"/>
      <c r="B790" s="4"/>
      <c r="C790" s="4"/>
      <c r="D790" s="4"/>
      <c r="E790" s="4"/>
      <c r="F790" s="4"/>
    </row>
    <row r="791" spans="1:6" x14ac:dyDescent="0.2">
      <c r="A791" s="4"/>
      <c r="B791" s="4"/>
      <c r="C791" s="4"/>
      <c r="D791" s="4"/>
      <c r="E791" s="4"/>
      <c r="F791" s="4"/>
    </row>
    <row r="792" spans="1:6" x14ac:dyDescent="0.2">
      <c r="A792" s="4"/>
      <c r="B792" s="4"/>
      <c r="C792" s="4"/>
      <c r="D792" s="4"/>
      <c r="E792" s="4"/>
      <c r="F792" s="4"/>
    </row>
    <row r="793" spans="1:6" x14ac:dyDescent="0.2">
      <c r="A793" s="4"/>
      <c r="B793" s="4"/>
      <c r="C793" s="4"/>
      <c r="D793" s="4"/>
      <c r="E793" s="4"/>
      <c r="F793" s="4"/>
    </row>
    <row r="794" spans="1:6" x14ac:dyDescent="0.2">
      <c r="A794" s="4"/>
      <c r="B794" s="4"/>
      <c r="C794" s="4"/>
      <c r="D794" s="4"/>
      <c r="E794" s="4"/>
      <c r="F794" s="4"/>
    </row>
    <row r="795" spans="1:6" x14ac:dyDescent="0.2">
      <c r="A795" s="4"/>
      <c r="B795" s="4"/>
      <c r="C795" s="4"/>
      <c r="D795" s="4"/>
      <c r="E795" s="4"/>
      <c r="F795" s="4"/>
    </row>
    <row r="796" spans="1:6" x14ac:dyDescent="0.2">
      <c r="A796" s="4"/>
      <c r="B796" s="4"/>
      <c r="C796" s="4"/>
      <c r="D796" s="4"/>
      <c r="E796" s="4"/>
      <c r="F796" s="4"/>
    </row>
    <row r="797" spans="1:6" x14ac:dyDescent="0.2">
      <c r="A797" s="4"/>
      <c r="B797" s="4"/>
      <c r="C797" s="4"/>
      <c r="D797" s="4"/>
      <c r="E797" s="4"/>
      <c r="F797" s="4"/>
    </row>
    <row r="798" spans="1:6" x14ac:dyDescent="0.2">
      <c r="A798" s="4"/>
      <c r="B798" s="4"/>
      <c r="C798" s="4"/>
      <c r="D798" s="4"/>
      <c r="E798" s="4"/>
      <c r="F798" s="4"/>
    </row>
    <row r="799" spans="1:6" x14ac:dyDescent="0.2">
      <c r="A799" s="4"/>
      <c r="B799" s="4"/>
      <c r="C799" s="4"/>
      <c r="D799" s="4"/>
      <c r="E799" s="4"/>
      <c r="F799" s="4"/>
    </row>
    <row r="800" spans="1:6" x14ac:dyDescent="0.2">
      <c r="A800" s="4"/>
      <c r="B800" s="4"/>
      <c r="C800" s="4"/>
      <c r="D800" s="4"/>
      <c r="E800" s="4"/>
      <c r="F800" s="4"/>
    </row>
    <row r="801" spans="1:6" x14ac:dyDescent="0.2">
      <c r="A801" s="4"/>
      <c r="B801" s="4"/>
      <c r="C801" s="4"/>
      <c r="D801" s="4"/>
      <c r="E801" s="4"/>
      <c r="F801" s="4"/>
    </row>
    <row r="802" spans="1:6" x14ac:dyDescent="0.2">
      <c r="A802" s="4"/>
      <c r="B802" s="4"/>
      <c r="C802" s="4"/>
      <c r="D802" s="4"/>
      <c r="E802" s="4"/>
      <c r="F802" s="4"/>
    </row>
    <row r="803" spans="1:6" x14ac:dyDescent="0.2">
      <c r="A803" s="4"/>
      <c r="B803" s="4"/>
      <c r="C803" s="4"/>
      <c r="D803" s="4"/>
      <c r="E803" s="4"/>
      <c r="F803" s="4"/>
    </row>
    <row r="804" spans="1:6" x14ac:dyDescent="0.2">
      <c r="A804" s="4"/>
      <c r="B804" s="4"/>
      <c r="C804" s="4"/>
      <c r="D804" s="4"/>
      <c r="E804" s="4"/>
      <c r="F804" s="4"/>
    </row>
    <row r="805" spans="1:6" x14ac:dyDescent="0.2">
      <c r="A805" s="4"/>
      <c r="B805" s="4"/>
      <c r="C805" s="4"/>
      <c r="D805" s="4"/>
      <c r="E805" s="4"/>
      <c r="F805" s="4"/>
    </row>
    <row r="806" spans="1:6" x14ac:dyDescent="0.2">
      <c r="A806" s="4"/>
      <c r="B806" s="4"/>
      <c r="C806" s="4"/>
      <c r="D806" s="4"/>
      <c r="E806" s="4"/>
      <c r="F806" s="4"/>
    </row>
    <row r="807" spans="1:6" x14ac:dyDescent="0.2">
      <c r="A807" s="4"/>
      <c r="B807" s="4"/>
      <c r="C807" s="4"/>
      <c r="D807" s="4"/>
      <c r="E807" s="4"/>
      <c r="F807" s="4"/>
    </row>
    <row r="808" spans="1:6" x14ac:dyDescent="0.2">
      <c r="A808" s="4"/>
      <c r="B808" s="4"/>
      <c r="C808" s="4"/>
      <c r="D808" s="4"/>
      <c r="E808" s="4"/>
      <c r="F808" s="4"/>
    </row>
    <row r="809" spans="1:6" x14ac:dyDescent="0.2">
      <c r="A809" s="4"/>
      <c r="B809" s="4"/>
      <c r="C809" s="4"/>
      <c r="D809" s="4"/>
      <c r="E809" s="4"/>
      <c r="F809" s="4"/>
    </row>
    <row r="810" spans="1:6" x14ac:dyDescent="0.2">
      <c r="A810" s="4"/>
      <c r="B810" s="4"/>
      <c r="C810" s="4"/>
      <c r="D810" s="4"/>
      <c r="E810" s="4"/>
      <c r="F810" s="4"/>
    </row>
    <row r="811" spans="1:6" x14ac:dyDescent="0.2">
      <c r="A811" s="4"/>
      <c r="B811" s="4"/>
      <c r="C811" s="4"/>
      <c r="D811" s="4"/>
      <c r="E811" s="4"/>
      <c r="F811" s="4"/>
    </row>
    <row r="812" spans="1:6" x14ac:dyDescent="0.2">
      <c r="A812" s="4"/>
      <c r="B812" s="4"/>
      <c r="C812" s="4"/>
      <c r="D812" s="4"/>
      <c r="E812" s="4"/>
      <c r="F812" s="4"/>
    </row>
    <row r="813" spans="1:6" x14ac:dyDescent="0.2">
      <c r="A813" s="4"/>
      <c r="B813" s="4"/>
      <c r="C813" s="4"/>
      <c r="D813" s="4"/>
      <c r="E813" s="4"/>
      <c r="F813" s="4"/>
    </row>
    <row r="814" spans="1:6" x14ac:dyDescent="0.2">
      <c r="A814" s="4"/>
      <c r="B814" s="4"/>
      <c r="C814" s="4"/>
      <c r="D814" s="4"/>
      <c r="E814" s="4"/>
      <c r="F814" s="4"/>
    </row>
    <row r="815" spans="1:6" x14ac:dyDescent="0.2">
      <c r="A815" s="4"/>
      <c r="B815" s="4"/>
      <c r="C815" s="4"/>
      <c r="D815" s="4"/>
      <c r="E815" s="4"/>
      <c r="F815" s="4"/>
    </row>
    <row r="816" spans="1:6" x14ac:dyDescent="0.2">
      <c r="A816" s="4"/>
      <c r="B816" s="4"/>
      <c r="C816" s="4"/>
      <c r="D816" s="4"/>
      <c r="E816" s="4"/>
      <c r="F816" s="4"/>
    </row>
    <row r="817" spans="1:6" x14ac:dyDescent="0.2">
      <c r="A817" s="4"/>
      <c r="B817" s="4"/>
      <c r="C817" s="4"/>
      <c r="D817" s="4"/>
      <c r="E817" s="4"/>
      <c r="F817" s="4"/>
    </row>
    <row r="818" spans="1:6" x14ac:dyDescent="0.2">
      <c r="A818" s="4"/>
      <c r="B818" s="4"/>
      <c r="C818" s="4"/>
      <c r="D818" s="4"/>
      <c r="E818" s="4"/>
      <c r="F818" s="4"/>
    </row>
    <row r="819" spans="1:6" x14ac:dyDescent="0.2">
      <c r="A819" s="4"/>
      <c r="B819" s="4"/>
      <c r="C819" s="4"/>
      <c r="D819" s="4"/>
      <c r="E819" s="4"/>
      <c r="F819" s="4"/>
    </row>
    <row r="820" spans="1:6" x14ac:dyDescent="0.2">
      <c r="A820" s="4"/>
      <c r="B820" s="4"/>
      <c r="C820" s="4"/>
      <c r="D820" s="4"/>
      <c r="E820" s="4"/>
      <c r="F820" s="4"/>
    </row>
    <row r="821" spans="1:6" x14ac:dyDescent="0.2">
      <c r="A821" s="4"/>
      <c r="B821" s="4"/>
      <c r="C821" s="4"/>
      <c r="D821" s="4"/>
      <c r="E821" s="4"/>
      <c r="F821" s="4"/>
    </row>
    <row r="822" spans="1:6" x14ac:dyDescent="0.2">
      <c r="A822" s="4"/>
      <c r="B822" s="4"/>
      <c r="C822" s="4"/>
      <c r="D822" s="4"/>
      <c r="E822" s="4"/>
      <c r="F822" s="4"/>
    </row>
    <row r="823" spans="1:6" x14ac:dyDescent="0.2">
      <c r="A823" s="4"/>
      <c r="B823" s="4"/>
      <c r="C823" s="4"/>
      <c r="D823" s="4"/>
      <c r="E823" s="4"/>
      <c r="F823" s="4"/>
    </row>
    <row r="824" spans="1:6" x14ac:dyDescent="0.2">
      <c r="A824" s="4"/>
      <c r="B824" s="4"/>
      <c r="C824" s="4"/>
      <c r="D824" s="4"/>
      <c r="E824" s="4"/>
      <c r="F824" s="4"/>
    </row>
    <row r="825" spans="1:6" x14ac:dyDescent="0.2">
      <c r="A825" s="4"/>
      <c r="B825" s="4"/>
      <c r="C825" s="4"/>
      <c r="D825" s="4"/>
      <c r="E825" s="4"/>
      <c r="F825" s="4"/>
    </row>
    <row r="826" spans="1:6" x14ac:dyDescent="0.2">
      <c r="A826" s="4"/>
      <c r="B826" s="4"/>
      <c r="C826" s="4"/>
      <c r="D826" s="4"/>
      <c r="E826" s="4"/>
      <c r="F826" s="4"/>
    </row>
  </sheetData>
  <dataValidations count="4">
    <dataValidation type="list" allowBlank="1" showInputMessage="1" showErrorMessage="1" sqref="B213:B826" xr:uid="{00000000-0002-0000-0100-000000000000}">
      <formula1>ListaJugadores</formula1>
    </dataValidation>
    <dataValidation type="list" allowBlank="1" showInputMessage="1" showErrorMessage="1" sqref="C286:C826" xr:uid="{00000000-0002-0000-0100-000001000000}">
      <formula1>ListaEventos</formula1>
    </dataValidation>
    <dataValidation type="list" allowBlank="1" showInputMessage="1" showErrorMessage="1" sqref="D213:D826" xr:uid="{00000000-0002-0000-0100-000002000000}">
      <formula1>ListaResultados</formula1>
    </dataValidation>
    <dataValidation type="list" allowBlank="1" showInputMessage="1" showErrorMessage="1" sqref="E213:E826" xr:uid="{00000000-0002-0000-0100-000003000000}">
      <formula1>ListaZonas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Procesar_Partido_Completo">
                <anchor moveWithCells="1" sizeWithCells="1">
                  <from>
                    <xdr:col>9</xdr:col>
                    <xdr:colOff>88900</xdr:colOff>
                    <xdr:row>1</xdr:row>
                    <xdr:rowOff>165100</xdr:rowOff>
                  </from>
                  <to>
                    <xdr:col>11</xdr:col>
                    <xdr:colOff>266700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795D034-7E62-F54B-9A83-A90917039C49}">
          <x14:formula1>
            <xm:f>LISTAS!$A$1:$A$19</xm:f>
          </x14:formula1>
          <xm:sqref>C213:C285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131F09-1E80-CD49-82E1-FD6563A65898}">
  <sheetPr codeName="Hoja16"/>
  <dimension ref="A2:B27"/>
  <sheetViews>
    <sheetView showGridLines="0" workbookViewId="0">
      <selection activeCell="H27" sqref="H27"/>
    </sheetView>
  </sheetViews>
  <sheetFormatPr baseColWidth="10" defaultColWidth="10.83203125" defaultRowHeight="15" x14ac:dyDescent="0.2"/>
  <cols>
    <col min="1" max="1" width="23.6640625" bestFit="1" customWidth="1"/>
    <col min="2" max="2" width="17.33203125" customWidth="1"/>
  </cols>
  <sheetData>
    <row r="2" spans="1:2" x14ac:dyDescent="0.2">
      <c r="A2" s="31" t="s">
        <v>243</v>
      </c>
      <c r="B2" s="31"/>
    </row>
    <row r="3" spans="1:2" x14ac:dyDescent="0.2">
      <c r="A3" t="s">
        <v>246</v>
      </c>
      <c r="B3">
        <f>CALCULOS!$L$36</f>
        <v>109</v>
      </c>
    </row>
    <row r="4" spans="1:2" ht="16" thickBot="1" x14ac:dyDescent="0.25"/>
    <row r="5" spans="1:2" ht="16" thickBot="1" x14ac:dyDescent="0.25">
      <c r="A5" s="32" t="s">
        <v>297</v>
      </c>
      <c r="B5" s="33"/>
    </row>
    <row r="6" spans="1:2" x14ac:dyDescent="0.2">
      <c r="A6" t="s">
        <v>245</v>
      </c>
      <c r="B6">
        <f>GETPIVOTDATA("MINUTO",CALCULOS!$A$5,"EVENTO","Tiro")</f>
        <v>20</v>
      </c>
    </row>
    <row r="7" spans="1:2" ht="16" thickBot="1" x14ac:dyDescent="0.25">
      <c r="A7" t="s">
        <v>244</v>
      </c>
      <c r="B7">
        <f>GETPIVOTDATA("MINUTO",CALCULOS!$A$63,"EVENTO","Tiro","REsultadoAccion","AP")</f>
        <v>18</v>
      </c>
    </row>
    <row r="8" spans="1:2" ht="20" thickBot="1" x14ac:dyDescent="0.3">
      <c r="A8" s="28" t="s">
        <v>247</v>
      </c>
      <c r="B8" s="29">
        <f>B7/B6</f>
        <v>0.9</v>
      </c>
    </row>
    <row r="9" spans="1:2" ht="16" thickBot="1" x14ac:dyDescent="0.25">
      <c r="A9" s="32" t="s">
        <v>248</v>
      </c>
      <c r="B9" s="33"/>
    </row>
    <row r="10" spans="1:2" x14ac:dyDescent="0.2">
      <c r="A10" t="s">
        <v>248</v>
      </c>
      <c r="B10">
        <f>TEAM_ANALYTICS!B7</f>
        <v>204</v>
      </c>
    </row>
    <row r="11" spans="1:2" ht="16" thickBot="1" x14ac:dyDescent="0.25">
      <c r="A11" t="s">
        <v>249</v>
      </c>
      <c r="B11">
        <f>TEAM_ANALYTICS!B6</f>
        <v>146</v>
      </c>
    </row>
    <row r="12" spans="1:2" ht="20" thickBot="1" x14ac:dyDescent="0.3">
      <c r="A12" s="27" t="s">
        <v>250</v>
      </c>
      <c r="B12" s="26">
        <f>B11/B10</f>
        <v>0.71568627450980393</v>
      </c>
    </row>
    <row r="13" spans="1:2" ht="16" thickBot="1" x14ac:dyDescent="0.25"/>
    <row r="14" spans="1:2" ht="16" thickBot="1" x14ac:dyDescent="0.25">
      <c r="A14" s="32" t="s">
        <v>298</v>
      </c>
      <c r="B14" s="33"/>
    </row>
    <row r="15" spans="1:2" x14ac:dyDescent="0.2">
      <c r="A15" t="s">
        <v>1</v>
      </c>
      <c r="B15">
        <f>GETPIVOTDATA("MINUTO",CALCULOS!$A$63,"EVENTO","Pase","REsultadoAccion","OK")+GETPIVOTDATA("MINUTO",CALCULOS!$A$63,"EVENTO","Pase clave","REsultadoAccion","OK")</f>
        <v>36</v>
      </c>
    </row>
    <row r="16" spans="1:2" ht="16" thickBot="1" x14ac:dyDescent="0.25">
      <c r="A16" t="s">
        <v>5</v>
      </c>
      <c r="B16">
        <f>GETPIVOTDATA("MINUTO",CALCULOS!$A$63,"EVENTO","Pase")+GETPIVOTDATA("MINUTO",CALCULOS!$A$63,"EVENTO","Pase clave")</f>
        <v>52</v>
      </c>
    </row>
    <row r="17" spans="1:2" ht="20" thickBot="1" x14ac:dyDescent="0.3">
      <c r="A17" t="s">
        <v>8</v>
      </c>
      <c r="B17" s="25">
        <f>B15/B16</f>
        <v>0.69230769230769229</v>
      </c>
    </row>
    <row r="18" spans="1:2" ht="16" thickBot="1" x14ac:dyDescent="0.25"/>
    <row r="19" spans="1:2" ht="16" thickBot="1" x14ac:dyDescent="0.25">
      <c r="A19" s="32" t="s">
        <v>299</v>
      </c>
      <c r="B19" s="33"/>
    </row>
    <row r="20" spans="1:2" x14ac:dyDescent="0.2">
      <c r="A20" t="s">
        <v>196</v>
      </c>
      <c r="B20">
        <f>GETPIVOTDATA("MINUTO",CALCULOS!$J$47,"REsultadoAccion","AP")+GETPIVOTDATA("MINUTO",CALCULOS!$J$47,"REsultadoAccion","Ganado")+GETPIVOTDATA("MINUTO",CALCULOS!$J$47,"REsultadoAccion","OK")
+COUNTIFS(Eventos[Evento],"Duel",Eventos[Resultado],"Ganado")
+COUNTIFS(Eventos[Evento],"Duel aéreo",Eventos[Resultado],"Ganado")
+COUNTIF(Eventos[Evento],"Centro bueno")
+COUNTIFS(Eventos[Evento],"Regate",Eventos[Resultado],"OK")
+COUNTIFS(Eventos[Evento],"Tiro",Eventos[Resultado],"AP")
+COUNTIF(Eventos[Evento],"Intercepción")
+COUNTIF(Eventos[Evento],"Entrada")
+COUNTIF(Eventos[Evento],"Recuperación alta")</f>
        <v>310</v>
      </c>
    </row>
    <row r="21" spans="1:2" ht="16" thickBot="1" x14ac:dyDescent="0.25">
      <c r="A21" t="s">
        <v>197</v>
      </c>
      <c r="B21">
        <f>GETPIVOTDATA("MINUTO",CALCULOS!$J$47)
+COUNTIF(Eventos[Evento],"Duel")
+COUNTIF(Eventos[Evento],"Duel aéreo")
+COUNTIF(Eventos[Evento],"Centro")
+COUNTIF(Eventos[Evento],"Regate")
+COUNTIF(Eventos[Evento],"Tiro")
+COUNTIF(Eventos[Evento],"Intercepción")
+COUNTIF(Eventos[Evento],"Entrada")
+COUNTIF(Eventos[Evento],"Recuperación alta")
+COUNTIF(Eventos[Evento],"Pérdida NF")
+COUNTIF(Eventos[Evento],"Falta cometida")</f>
        <v>426</v>
      </c>
    </row>
    <row r="22" spans="1:2" ht="20" thickBot="1" x14ac:dyDescent="0.3">
      <c r="A22" t="s">
        <v>198</v>
      </c>
      <c r="B22" s="25">
        <f>B20/B21</f>
        <v>0.72769953051643188</v>
      </c>
    </row>
    <row r="23" spans="1:2" ht="16" thickBot="1" x14ac:dyDescent="0.25"/>
    <row r="24" spans="1:2" ht="20" thickBot="1" x14ac:dyDescent="0.3">
      <c r="A24" t="s">
        <v>300</v>
      </c>
      <c r="B24" s="30">
        <f>58/240</f>
        <v>0.24166666666666667</v>
      </c>
    </row>
    <row r="25" spans="1:2" ht="16" thickBot="1" x14ac:dyDescent="0.25">
      <c r="A25" t="s">
        <v>301</v>
      </c>
    </row>
    <row r="26" spans="1:2" ht="20" thickBot="1" x14ac:dyDescent="0.3">
      <c r="A26" t="s">
        <v>251</v>
      </c>
      <c r="B26" s="25">
        <f>GETPIVOTDATA("MINUTO",CALCULOS!$A$63,"EVENTO","2 jugada","REsultadoAccion","Ganado")/GETPIVOTDATA("MINUTO",CALCULOS!$A$63,"EVENTO","2 jugada")</f>
        <v>0.37037037037037035</v>
      </c>
    </row>
    <row r="27" spans="1:2" ht="20" thickBot="1" x14ac:dyDescent="0.3">
      <c r="A27" t="s">
        <v>261</v>
      </c>
      <c r="B27" s="25">
        <v>0.52941176470588236</v>
      </c>
    </row>
  </sheetData>
  <mergeCells count="5">
    <mergeCell ref="A2:B2"/>
    <mergeCell ref="A5:B5"/>
    <mergeCell ref="A9:B9"/>
    <mergeCell ref="A14:B14"/>
    <mergeCell ref="A19:B19"/>
  </mergeCells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P75"/>
  <sheetViews>
    <sheetView workbookViewId="0">
      <selection activeCell="D8" sqref="D8"/>
    </sheetView>
  </sheetViews>
  <sheetFormatPr baseColWidth="10" defaultColWidth="8.83203125" defaultRowHeight="15" x14ac:dyDescent="0.2"/>
  <cols>
    <col min="1" max="3" width="22" customWidth="1"/>
    <col min="4" max="4" width="26.33203125" bestFit="1" customWidth="1"/>
    <col min="5" max="6" width="22" customWidth="1"/>
    <col min="7" max="7" width="29.1640625" customWidth="1"/>
    <col min="8" max="8" width="18.5" bestFit="1" customWidth="1"/>
    <col min="9" max="9" width="20.33203125" bestFit="1" customWidth="1"/>
    <col min="10" max="10" width="6.6640625" bestFit="1" customWidth="1"/>
    <col min="11" max="11" width="7" bestFit="1" customWidth="1"/>
    <col min="12" max="12" width="4.1640625" bestFit="1" customWidth="1"/>
    <col min="13" max="13" width="7.33203125" bestFit="1" customWidth="1"/>
    <col min="14" max="14" width="9.6640625" bestFit="1" customWidth="1"/>
    <col min="15" max="15" width="11.1640625" bestFit="1" customWidth="1"/>
  </cols>
  <sheetData>
    <row r="1" spans="1:9" x14ac:dyDescent="0.2">
      <c r="A1" t="s">
        <v>0</v>
      </c>
    </row>
    <row r="2" spans="1:9" x14ac:dyDescent="0.2">
      <c r="D2" t="s">
        <v>3</v>
      </c>
      <c r="E2" t="s">
        <v>4</v>
      </c>
    </row>
    <row r="3" spans="1:9" x14ac:dyDescent="0.2">
      <c r="A3" t="s">
        <v>1</v>
      </c>
      <c r="B3">
        <f>GETPIVOTDATA("MINUTO",CALCULOS!$A$63,"EVENTO","Pase","REsultadoAccion","OK")+GETPIVOTDATA("MINUTO",CALCULOS!$A$63,"EVENTO","Pase clave","REsultadoAccion","OK")</f>
        <v>36</v>
      </c>
      <c r="D3" t="s">
        <v>7</v>
      </c>
      <c r="E3">
        <f>'DASHBOARD GENERAL'!B6</f>
        <v>20</v>
      </c>
      <c r="G3" t="s">
        <v>196</v>
      </c>
      <c r="H3">
        <f>GETPIVOTDATA("MINUTO",CALCULOS!$J$47,"REsultadoAccion","OK")+GETPIVOTDATA("MINUTO",CALCULOS!$J$47,"REsultadoAccion","Ganado")+GETPIVOTDATA("MINUTO",CALCULOS!$J$47,"REsultadoAccion","AP")
+COUNTIFS(Eventos[Evento],"Duel",Eventos[Resultado],"Ganado")
+COUNTIFS(Eventos[Evento],"Duel aéreo",Eventos[Resultado],"Ganado")
+COUNTIF(Eventos[Evento],"Centro bueno")
+COUNTIFS(Eventos[Evento],"Regate",Eventos[Resultado],"OK")
+COUNTIFS(Eventos[Evento],"Tiro",Eventos[Resultado],"AP")
+COUNTIF(Eventos[Evento],"Intercepción")
+COUNTIF(Eventos[Evento],"Entrada")
+COUNTIF(Eventos[Evento],"Recuperación alta")</f>
        <v>310</v>
      </c>
    </row>
    <row r="4" spans="1:9" ht="16" thickBot="1" x14ac:dyDescent="0.25">
      <c r="A4" t="s">
        <v>5</v>
      </c>
      <c r="B4">
        <f>GETPIVOTDATA("MINUTO",CALCULOS!$A$63,"EVENTO","Pase")+GETPIVOTDATA("MINUTO",CALCULOS!$A$63,"EVENTO","Pase clave")</f>
        <v>52</v>
      </c>
      <c r="D4" t="s">
        <v>10</v>
      </c>
      <c r="E4">
        <f>'DASHBOARD GENERAL'!B7</f>
        <v>18</v>
      </c>
      <c r="G4" t="s">
        <v>197</v>
      </c>
      <c r="H4">
        <f>GETPIVOTDATA("MINUTO",CALCULOS!$J$47)
+COUNTIF(Eventos[Evento],"Duel")
+COUNTIF(Eventos[Evento],"Duel aéreo")
+COUNTIF(Eventos[Evento],"Centro")
+COUNTIF(Eventos[Evento],"Regate")
+COUNTIF(Eventos[Evento],"Tiro")
+COUNTIF(Eventos[Evento],"Intercepción")
+COUNTIF(Eventos[Evento],"Entrada")
+COUNTIF(Eventos[Evento],"Recuperación alta")
+COUNTIF(Eventos[Evento],"Pérdida NF")
+COUNTIF(Eventos[Evento],"Falta cometida")</f>
        <v>426</v>
      </c>
    </row>
    <row r="5" spans="1:9" ht="20" thickBot="1" x14ac:dyDescent="0.3">
      <c r="A5" t="s">
        <v>8</v>
      </c>
      <c r="B5" s="25">
        <f>B3/B4</f>
        <v>0.69230769230769229</v>
      </c>
      <c r="D5" t="s">
        <v>13</v>
      </c>
      <c r="E5">
        <f>GETPIVOTDATA("MINUTO",CALCULOS!$A$63,"EVENTO","Duelo")+GETPIVOTDATA("MINUTO",CALCULOS!$A$63,"EVENTO","Duelo aéreo")+GETPIVOTDATA("MINUTO",CALCULOS!$A$63,"EVENTO","Intercepción")+GETPIVOTDATA("MINUTO",CALCULOS!$A$63,"EVENTO","Regate")</f>
        <v>204</v>
      </c>
      <c r="G5" t="s">
        <v>198</v>
      </c>
      <c r="H5" s="15">
        <f>H3/H4</f>
        <v>0.72769953051643188</v>
      </c>
    </row>
    <row r="6" spans="1:9" x14ac:dyDescent="0.2">
      <c r="A6" t="s">
        <v>11</v>
      </c>
      <c r="B6">
        <f>E6</f>
        <v>146</v>
      </c>
      <c r="D6" t="s">
        <v>11</v>
      </c>
      <c r="E6">
        <f>GETPIVOTDATA("MINUTO",CALCULOS!$A$63,"EVENTO","Duelo","REsultadoAccion","Ganado")+GETPIVOTDATA("MINUTO",CALCULOS!$A$63,"EVENTO","Duelo aéreo","REsultadoAccion","Ganado")+GETPIVOTDATA("MINUTO",CALCULOS!$A$63,"EVENTO","Entrada","REsultadoAccion","Ganado")+GETPIVOTDATA("MINUTO",CALCULOS!$A$63,"EVENTO","Intercepción","REsultadoAccion","Ganado")+GETPIVOTDATA("MINUTO",CALCULOS!$A$63,"EVENTO","Recuperación alta","REsultadoAccion","Ganado")+GETPIVOTDATA("MINUTO",CALCULOS!$A$63,"EVENTO","Regate","REsultadoAccion","Ganado")</f>
        <v>146</v>
      </c>
    </row>
    <row r="7" spans="1:9" ht="16" thickBot="1" x14ac:dyDescent="0.25">
      <c r="A7" t="s">
        <v>13</v>
      </c>
      <c r="B7">
        <f>E5</f>
        <v>204</v>
      </c>
    </row>
    <row r="8" spans="1:9" ht="20" thickBot="1" x14ac:dyDescent="0.3">
      <c r="A8" t="s">
        <v>15</v>
      </c>
      <c r="B8" s="25">
        <f>B6/B7</f>
        <v>0.71568627450980393</v>
      </c>
      <c r="D8" t="s">
        <v>19</v>
      </c>
    </row>
    <row r="9" spans="1:9" x14ac:dyDescent="0.2">
      <c r="A9" t="s">
        <v>17</v>
      </c>
      <c r="B9">
        <f>GETPIVOTDATA("MINUTO",CALCULOS!$A$63,"EVENTO","Duelo aéreo","REsultadoAccion","Ganado")</f>
        <v>82</v>
      </c>
    </row>
    <row r="10" spans="1:9" ht="16" thickBot="1" x14ac:dyDescent="0.25">
      <c r="A10" t="s">
        <v>20</v>
      </c>
      <c r="B10">
        <f>GETPIVOTDATA("MINUTO",CALCULOS!$A$63,"EVENTO","Duelo aéreo")</f>
        <v>100</v>
      </c>
      <c r="D10" t="s">
        <v>24</v>
      </c>
      <c r="E10" t="s">
        <v>4</v>
      </c>
      <c r="G10" t="s">
        <v>202</v>
      </c>
      <c r="H10">
        <f>GETPIVOTDATA("MINUTO",CALCULOS!$K$34,"TERCIO","DEFENSA")</f>
        <v>38</v>
      </c>
      <c r="I10" s="17">
        <f>H10/H13</f>
        <v>0.1890547263681592</v>
      </c>
    </row>
    <row r="11" spans="1:9" ht="20" thickBot="1" x14ac:dyDescent="0.3">
      <c r="A11" t="s">
        <v>22</v>
      </c>
      <c r="B11" s="25">
        <f>B9/B10</f>
        <v>0.82</v>
      </c>
      <c r="D11" t="s">
        <v>26</v>
      </c>
      <c r="E11">
        <f>GETPIVOTDATA("MINUTO",CALCULOS!$A$63,"EVENTO","Pérdida F")+GETPIVOTDATA("MINUTO",CALCULOS!$A$63,"EVENTO","Pérdida NF")</f>
        <v>12</v>
      </c>
      <c r="G11" t="s">
        <v>203</v>
      </c>
      <c r="H11">
        <f>GETPIVOTDATA("MINUTO",CALCULOS!$K$34,"TERCIO","CONSTRUCCIÓN")</f>
        <v>109</v>
      </c>
      <c r="I11" s="17">
        <f>H11/H13</f>
        <v>0.54228855721393032</v>
      </c>
    </row>
    <row r="12" spans="1:9" x14ac:dyDescent="0.2">
      <c r="A12" t="s">
        <v>10</v>
      </c>
      <c r="B12">
        <f>GETPIVOTDATA("MINUTO",CALCULOS!$A$63,"EVENTO","Tiro","REsultadoAccion","AP")</f>
        <v>18</v>
      </c>
      <c r="D12" t="s">
        <v>28</v>
      </c>
      <c r="E12">
        <f>GETPIVOTDATA("MINUTO",CALCULOS!$A$63,"EVENTO","Recuperación alta")+GETPIVOTDATA("MINUTO",CALCULOS!$A$63,"EVENTO","Intercepción","REsultadoAccion","Ganado")+GETPIVOTDATA("MINUTO",CALCULOS!$A$63,"EVENTO","Entrada","REsultadoAccion","Ganado")+GETPIVOTDATA("MINUTO",CALCULOS!$A$63,"EVENTO","Entrada","REsultadoAccion","OK")</f>
        <v>40</v>
      </c>
      <c r="G12" t="s">
        <v>204</v>
      </c>
      <c r="H12">
        <f>GETPIVOTDATA("MINUTO",CALCULOS!$K$34,"TERCIO","ATAQUE")</f>
        <v>54</v>
      </c>
      <c r="I12" s="17">
        <f>H12/H13</f>
        <v>0.26865671641791045</v>
      </c>
    </row>
    <row r="13" spans="1:9" ht="16" thickBot="1" x14ac:dyDescent="0.25">
      <c r="A13" t="s">
        <v>7</v>
      </c>
      <c r="B13">
        <f>GETPIVOTDATA("MINUTO",CALCULOS!$A$63,"EVENTO","Tiro")</f>
        <v>20</v>
      </c>
      <c r="H13">
        <f>H10+H11+H12</f>
        <v>201</v>
      </c>
    </row>
    <row r="14" spans="1:9" ht="20" thickBot="1" x14ac:dyDescent="0.3">
      <c r="A14" t="s">
        <v>29</v>
      </c>
      <c r="B14" s="25">
        <f>B12/B13</f>
        <v>0.9</v>
      </c>
    </row>
    <row r="15" spans="1:9" x14ac:dyDescent="0.2">
      <c r="A15" t="s">
        <v>31</v>
      </c>
      <c r="B15">
        <f>COUNTIF(Eventos[Evento],"Gol")</f>
        <v>1</v>
      </c>
    </row>
    <row r="16" spans="1:9" x14ac:dyDescent="0.2">
      <c r="A16" t="s">
        <v>33</v>
      </c>
      <c r="B16">
        <f>COUNTIF(Eventos[Evento],"Asistencia")</f>
        <v>1</v>
      </c>
    </row>
    <row r="17" spans="1:16" x14ac:dyDescent="0.2">
      <c r="A17" t="s">
        <v>35</v>
      </c>
      <c r="B17">
        <f>GETPIVOTDATA("MINUTO",CALCULOS!$A$63,"EVENTO","Centro bueno")</f>
        <v>4</v>
      </c>
    </row>
    <row r="18" spans="1:16" x14ac:dyDescent="0.2">
      <c r="A18" t="s">
        <v>37</v>
      </c>
      <c r="B18" t="e">
        <f>GETPIVOTDATA("MINUTO",CALCULOS!$A$63,"EVENTO","Centro")+GETPIVOTDATA("MINUTO",CALCULOS!$A$63,"EVENTO","Centro bueno")</f>
        <v>#REF!</v>
      </c>
    </row>
    <row r="19" spans="1:16" x14ac:dyDescent="0.2">
      <c r="A19" t="s">
        <v>39</v>
      </c>
      <c r="B19" s="14">
        <f>IFERROR(B17/B18,0)</f>
        <v>0</v>
      </c>
    </row>
    <row r="20" spans="1:16" x14ac:dyDescent="0.2">
      <c r="A20" t="s">
        <v>41</v>
      </c>
      <c r="B20">
        <f>GETPIVOTDATA("MINUTO",CALCULOS!$A$63,"EVENTO","Pérdida F")</f>
        <v>8</v>
      </c>
    </row>
    <row r="21" spans="1:16" x14ac:dyDescent="0.2">
      <c r="A21" t="s">
        <v>28</v>
      </c>
      <c r="B21">
        <f>GETPIVOTDATA("MINUTO",CALCULOS!$A$63,"EVENTO","Pérdida NF")</f>
        <v>4</v>
      </c>
    </row>
    <row r="24" spans="1:16" x14ac:dyDescent="0.2">
      <c r="M24" s="16"/>
      <c r="N24" s="16"/>
      <c r="O24" s="16"/>
      <c r="P24" s="16"/>
    </row>
    <row r="25" spans="1:16" x14ac:dyDescent="0.2">
      <c r="M25" s="16"/>
      <c r="N25" s="16"/>
      <c r="O25" s="16"/>
      <c r="P25" s="16"/>
    </row>
    <row r="26" spans="1:16" x14ac:dyDescent="0.2">
      <c r="M26" s="16"/>
      <c r="N26" s="16"/>
      <c r="O26" s="16"/>
      <c r="P26" s="16"/>
    </row>
    <row r="27" spans="1:16" x14ac:dyDescent="0.2">
      <c r="M27" s="16"/>
      <c r="N27" s="16"/>
      <c r="O27" s="16"/>
      <c r="P27" s="16"/>
    </row>
    <row r="50" spans="8:15" x14ac:dyDescent="0.2">
      <c r="H50" s="18" t="s">
        <v>216</v>
      </c>
      <c r="I50" t="s">
        <v>219</v>
      </c>
    </row>
    <row r="51" spans="8:15" x14ac:dyDescent="0.2">
      <c r="H51" s="18" t="s">
        <v>212</v>
      </c>
      <c r="I51" t="s">
        <v>219</v>
      </c>
    </row>
    <row r="53" spans="8:15" x14ac:dyDescent="0.2">
      <c r="H53" s="18" t="s">
        <v>223</v>
      </c>
      <c r="I53" s="18" t="s">
        <v>222</v>
      </c>
    </row>
    <row r="54" spans="8:15" x14ac:dyDescent="0.2">
      <c r="H54" s="18" t="s">
        <v>220</v>
      </c>
      <c r="I54" t="s">
        <v>80</v>
      </c>
      <c r="J54" t="s">
        <v>64</v>
      </c>
      <c r="K54" t="s">
        <v>71</v>
      </c>
      <c r="L54" t="s">
        <v>66</v>
      </c>
      <c r="M54" t="s">
        <v>68</v>
      </c>
      <c r="N54" t="s">
        <v>242</v>
      </c>
      <c r="O54" t="s">
        <v>221</v>
      </c>
    </row>
    <row r="55" spans="8:15" x14ac:dyDescent="0.2">
      <c r="H55" s="19" t="s">
        <v>205</v>
      </c>
      <c r="I55" s="34"/>
      <c r="J55" s="35"/>
      <c r="K55" s="35">
        <v>2</v>
      </c>
      <c r="L55" s="35">
        <v>14</v>
      </c>
      <c r="M55" s="35"/>
      <c r="N55" s="35">
        <v>2</v>
      </c>
      <c r="O55" s="35">
        <v>18</v>
      </c>
    </row>
    <row r="56" spans="8:15" x14ac:dyDescent="0.2">
      <c r="H56" s="19" t="s">
        <v>23</v>
      </c>
      <c r="I56" s="34"/>
      <c r="J56" s="35"/>
      <c r="K56" s="35"/>
      <c r="L56" s="35">
        <v>4</v>
      </c>
      <c r="M56" s="35"/>
      <c r="N56" s="35"/>
      <c r="O56" s="35">
        <v>4</v>
      </c>
    </row>
    <row r="57" spans="8:15" x14ac:dyDescent="0.2">
      <c r="H57" s="19" t="s">
        <v>199</v>
      </c>
      <c r="I57" s="34"/>
      <c r="J57" s="35"/>
      <c r="K57" s="35">
        <v>20</v>
      </c>
      <c r="L57" s="35"/>
      <c r="M57" s="35">
        <v>6</v>
      </c>
      <c r="N57" s="35"/>
      <c r="O57" s="35">
        <v>26</v>
      </c>
    </row>
    <row r="58" spans="8:15" x14ac:dyDescent="0.2">
      <c r="H58" s="19" t="s">
        <v>200</v>
      </c>
      <c r="I58" s="34"/>
      <c r="J58" s="35"/>
      <c r="K58" s="35">
        <v>82</v>
      </c>
      <c r="L58" s="35"/>
      <c r="M58" s="35">
        <v>18</v>
      </c>
      <c r="N58" s="35"/>
      <c r="O58" s="35">
        <v>100</v>
      </c>
    </row>
    <row r="59" spans="8:15" x14ac:dyDescent="0.2">
      <c r="H59" s="19" t="s">
        <v>32</v>
      </c>
      <c r="I59" s="34"/>
      <c r="J59" s="35">
        <v>6</v>
      </c>
      <c r="K59" s="35"/>
      <c r="L59" s="35"/>
      <c r="M59" s="35"/>
      <c r="N59" s="35"/>
      <c r="O59" s="35">
        <v>6</v>
      </c>
    </row>
    <row r="60" spans="8:15" x14ac:dyDescent="0.2">
      <c r="H60" s="19" t="s">
        <v>38</v>
      </c>
      <c r="I60" s="34"/>
      <c r="J60" s="35"/>
      <c r="K60" s="35"/>
      <c r="L60" s="35">
        <v>10</v>
      </c>
      <c r="M60" s="35"/>
      <c r="N60" s="35"/>
      <c r="O60" s="35">
        <v>10</v>
      </c>
    </row>
    <row r="61" spans="8:15" x14ac:dyDescent="0.2">
      <c r="H61" s="19" t="s">
        <v>40</v>
      </c>
      <c r="I61" s="34"/>
      <c r="J61" s="35"/>
      <c r="K61" s="35"/>
      <c r="L61" s="35">
        <v>4</v>
      </c>
      <c r="M61" s="35"/>
      <c r="N61" s="35">
        <v>2</v>
      </c>
      <c r="O61" s="35">
        <v>6</v>
      </c>
    </row>
    <row r="62" spans="8:15" x14ac:dyDescent="0.2">
      <c r="H62" s="19" t="s">
        <v>16</v>
      </c>
      <c r="I62" s="34"/>
      <c r="J62" s="35"/>
      <c r="K62" s="35"/>
      <c r="L62" s="35">
        <v>2</v>
      </c>
      <c r="M62" s="35"/>
      <c r="N62" s="35"/>
      <c r="O62" s="35">
        <v>2</v>
      </c>
    </row>
    <row r="63" spans="8:15" x14ac:dyDescent="0.2">
      <c r="H63" s="19" t="s">
        <v>30</v>
      </c>
      <c r="I63" s="34"/>
      <c r="J63" s="35">
        <v>18</v>
      </c>
      <c r="K63" s="35">
        <v>38</v>
      </c>
      <c r="L63" s="35">
        <v>14</v>
      </c>
      <c r="M63" s="35"/>
      <c r="N63" s="35">
        <v>2</v>
      </c>
      <c r="O63" s="35">
        <v>72</v>
      </c>
    </row>
    <row r="64" spans="8:15" x14ac:dyDescent="0.2">
      <c r="H64" s="19" t="s">
        <v>6</v>
      </c>
      <c r="I64" s="34"/>
      <c r="J64" s="35">
        <v>10</v>
      </c>
      <c r="K64" s="35">
        <v>2</v>
      </c>
      <c r="L64" s="35">
        <v>32</v>
      </c>
      <c r="M64" s="35"/>
      <c r="N64" s="35">
        <v>2</v>
      </c>
      <c r="O64" s="35">
        <v>46</v>
      </c>
    </row>
    <row r="65" spans="8:15" x14ac:dyDescent="0.2">
      <c r="H65" s="19" t="s">
        <v>9</v>
      </c>
      <c r="I65" s="34"/>
      <c r="J65" s="35"/>
      <c r="K65" s="35">
        <v>2</v>
      </c>
      <c r="L65" s="35">
        <v>4</v>
      </c>
      <c r="M65" s="35"/>
      <c r="N65" s="35"/>
      <c r="O65" s="35">
        <v>6</v>
      </c>
    </row>
    <row r="66" spans="8:15" x14ac:dyDescent="0.2">
      <c r="H66" s="19" t="s">
        <v>76</v>
      </c>
      <c r="I66" s="34"/>
      <c r="J66" s="35">
        <v>2</v>
      </c>
      <c r="K66" s="35"/>
      <c r="L66" s="35">
        <v>4</v>
      </c>
      <c r="M66" s="35"/>
      <c r="N66" s="35">
        <v>2</v>
      </c>
      <c r="O66" s="35">
        <v>8</v>
      </c>
    </row>
    <row r="67" spans="8:15" x14ac:dyDescent="0.2">
      <c r="H67" s="19" t="s">
        <v>36</v>
      </c>
      <c r="I67" s="34"/>
      <c r="J67" s="35">
        <v>2</v>
      </c>
      <c r="K67" s="35"/>
      <c r="L67" s="35">
        <v>2</v>
      </c>
      <c r="M67" s="35"/>
      <c r="N67" s="35"/>
      <c r="O67" s="35">
        <v>4</v>
      </c>
    </row>
    <row r="68" spans="8:15" x14ac:dyDescent="0.2">
      <c r="H68" s="19" t="s">
        <v>34</v>
      </c>
      <c r="I68" s="34"/>
      <c r="J68" s="35"/>
      <c r="K68" s="35">
        <v>2</v>
      </c>
      <c r="L68" s="35"/>
      <c r="M68" s="35"/>
      <c r="N68" s="35"/>
      <c r="O68" s="35">
        <v>2</v>
      </c>
    </row>
    <row r="69" spans="8:15" x14ac:dyDescent="0.2">
      <c r="H69" s="19" t="s">
        <v>12</v>
      </c>
      <c r="I69" s="34"/>
      <c r="J69" s="35">
        <v>2</v>
      </c>
      <c r="K69" s="35">
        <v>4</v>
      </c>
      <c r="L69" s="35"/>
      <c r="M69" s="35"/>
      <c r="N69" s="35"/>
      <c r="O69" s="35">
        <v>6</v>
      </c>
    </row>
    <row r="70" spans="8:15" x14ac:dyDescent="0.2">
      <c r="H70" s="19" t="s">
        <v>14</v>
      </c>
      <c r="I70" s="34">
        <v>18</v>
      </c>
      <c r="J70" s="35"/>
      <c r="K70" s="35"/>
      <c r="L70" s="35">
        <v>2</v>
      </c>
      <c r="M70" s="35"/>
      <c r="N70" s="35"/>
      <c r="O70" s="35">
        <v>20</v>
      </c>
    </row>
    <row r="71" spans="8:15" x14ac:dyDescent="0.2">
      <c r="H71" s="19" t="s">
        <v>242</v>
      </c>
      <c r="I71" s="34"/>
      <c r="J71" s="35"/>
      <c r="K71" s="35"/>
      <c r="L71" s="35"/>
      <c r="M71" s="35"/>
      <c r="N71" s="35">
        <v>4</v>
      </c>
      <c r="O71" s="35">
        <v>4</v>
      </c>
    </row>
    <row r="72" spans="8:15" x14ac:dyDescent="0.2">
      <c r="H72" s="19" t="s">
        <v>261</v>
      </c>
      <c r="I72" s="34"/>
      <c r="J72" s="34"/>
      <c r="K72" s="34"/>
      <c r="L72" s="34">
        <v>16</v>
      </c>
      <c r="M72" s="34"/>
      <c r="N72" s="34"/>
      <c r="O72" s="34">
        <v>16</v>
      </c>
    </row>
    <row r="73" spans="8:15" x14ac:dyDescent="0.2">
      <c r="H73" s="19" t="s">
        <v>311</v>
      </c>
      <c r="I73" s="34"/>
      <c r="J73" s="34">
        <v>14</v>
      </c>
      <c r="K73" s="34">
        <v>20</v>
      </c>
      <c r="L73" s="34">
        <v>8</v>
      </c>
      <c r="M73" s="34">
        <v>10</v>
      </c>
      <c r="N73" s="34">
        <v>2</v>
      </c>
      <c r="O73" s="34">
        <v>54</v>
      </c>
    </row>
    <row r="74" spans="8:15" x14ac:dyDescent="0.2">
      <c r="H74" s="19" t="s">
        <v>82</v>
      </c>
      <c r="I74" s="34"/>
      <c r="J74" s="34"/>
      <c r="K74" s="34"/>
      <c r="L74" s="34">
        <v>2</v>
      </c>
      <c r="M74" s="34"/>
      <c r="N74" s="34"/>
      <c r="O74" s="34">
        <v>2</v>
      </c>
    </row>
    <row r="75" spans="8:15" x14ac:dyDescent="0.2">
      <c r="H75" s="19" t="s">
        <v>221</v>
      </c>
      <c r="I75" s="34">
        <v>18</v>
      </c>
      <c r="J75" s="34">
        <v>54</v>
      </c>
      <c r="K75" s="34">
        <v>172</v>
      </c>
      <c r="L75" s="34">
        <v>118</v>
      </c>
      <c r="M75" s="34">
        <v>34</v>
      </c>
      <c r="N75" s="34">
        <v>16</v>
      </c>
      <c r="O75" s="34">
        <v>412</v>
      </c>
    </row>
  </sheetData>
  <pageMargins left="0.75" right="0.75" top="1" bottom="1" header="0.5" footer="0.5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D19"/>
  <sheetViews>
    <sheetView workbookViewId="0">
      <selection activeCell="D3" sqref="D3"/>
    </sheetView>
  </sheetViews>
  <sheetFormatPr baseColWidth="10" defaultColWidth="8.83203125" defaultRowHeight="15" x14ac:dyDescent="0.2"/>
  <cols>
    <col min="1" max="1" width="27.5" customWidth="1"/>
    <col min="3" max="3" width="14" bestFit="1" customWidth="1"/>
    <col min="4" max="4" width="13.33203125" bestFit="1" customWidth="1"/>
  </cols>
  <sheetData>
    <row r="1" spans="1:4" x14ac:dyDescent="0.2">
      <c r="A1" t="s">
        <v>6</v>
      </c>
      <c r="B1" t="s">
        <v>66</v>
      </c>
      <c r="C1" t="s">
        <v>72</v>
      </c>
      <c r="D1" t="s">
        <v>202</v>
      </c>
    </row>
    <row r="2" spans="1:4" x14ac:dyDescent="0.2">
      <c r="A2" t="s">
        <v>9</v>
      </c>
      <c r="B2" t="s">
        <v>64</v>
      </c>
      <c r="C2" t="s">
        <v>74</v>
      </c>
      <c r="D2" t="s">
        <v>203</v>
      </c>
    </row>
    <row r="3" spans="1:4" x14ac:dyDescent="0.2">
      <c r="A3" t="s">
        <v>12</v>
      </c>
      <c r="B3" t="s">
        <v>71</v>
      </c>
      <c r="C3" t="s">
        <v>67</v>
      </c>
      <c r="D3" t="s">
        <v>204</v>
      </c>
    </row>
    <row r="4" spans="1:4" x14ac:dyDescent="0.2">
      <c r="A4" t="s">
        <v>14</v>
      </c>
      <c r="B4" t="s">
        <v>68</v>
      </c>
      <c r="C4" t="s">
        <v>70</v>
      </c>
    </row>
    <row r="5" spans="1:4" x14ac:dyDescent="0.2">
      <c r="A5" t="s">
        <v>16</v>
      </c>
      <c r="B5" t="s">
        <v>80</v>
      </c>
      <c r="C5" t="s">
        <v>73</v>
      </c>
    </row>
    <row r="6" spans="1:4" x14ac:dyDescent="0.2">
      <c r="A6" t="s">
        <v>18</v>
      </c>
      <c r="B6" t="s">
        <v>81</v>
      </c>
      <c r="C6" t="s">
        <v>75</v>
      </c>
    </row>
    <row r="7" spans="1:4" x14ac:dyDescent="0.2">
      <c r="A7" t="s">
        <v>21</v>
      </c>
      <c r="C7" t="s">
        <v>65</v>
      </c>
    </row>
    <row r="8" spans="1:4" x14ac:dyDescent="0.2">
      <c r="A8" t="s">
        <v>23</v>
      </c>
      <c r="C8" t="s">
        <v>79</v>
      </c>
    </row>
    <row r="9" spans="1:4" x14ac:dyDescent="0.2">
      <c r="A9" t="s">
        <v>199</v>
      </c>
      <c r="C9" t="s">
        <v>69</v>
      </c>
    </row>
    <row r="10" spans="1:4" x14ac:dyDescent="0.2">
      <c r="A10" t="s">
        <v>200</v>
      </c>
      <c r="C10" t="s">
        <v>78</v>
      </c>
    </row>
    <row r="11" spans="1:4" x14ac:dyDescent="0.2">
      <c r="A11" t="s">
        <v>30</v>
      </c>
    </row>
    <row r="12" spans="1:4" x14ac:dyDescent="0.2">
      <c r="A12" t="s">
        <v>32</v>
      </c>
    </row>
    <row r="13" spans="1:4" x14ac:dyDescent="0.2">
      <c r="A13" t="s">
        <v>34</v>
      </c>
    </row>
    <row r="14" spans="1:4" x14ac:dyDescent="0.2">
      <c r="A14" t="s">
        <v>36</v>
      </c>
    </row>
    <row r="15" spans="1:4" x14ac:dyDescent="0.2">
      <c r="A15" t="s">
        <v>76</v>
      </c>
    </row>
    <row r="16" spans="1:4" x14ac:dyDescent="0.2">
      <c r="A16" t="s">
        <v>38</v>
      </c>
    </row>
    <row r="17" spans="1:1" x14ac:dyDescent="0.2">
      <c r="A17" t="s">
        <v>40</v>
      </c>
    </row>
    <row r="18" spans="1:1" x14ac:dyDescent="0.2">
      <c r="A18" t="s">
        <v>82</v>
      </c>
    </row>
    <row r="19" spans="1:1" x14ac:dyDescent="0.2">
      <c r="A19" t="s">
        <v>205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J17"/>
  <sheetViews>
    <sheetView topLeftCell="A2" workbookViewId="0">
      <selection activeCell="B7" sqref="B7"/>
    </sheetView>
  </sheetViews>
  <sheetFormatPr baseColWidth="10" defaultColWidth="8.83203125" defaultRowHeight="15" x14ac:dyDescent="0.2"/>
  <cols>
    <col min="1" max="2" width="34.6640625" customWidth="1"/>
    <col min="10" max="10" width="11.33203125" customWidth="1"/>
  </cols>
  <sheetData>
    <row r="1" spans="1:6" ht="19" customHeight="1" x14ac:dyDescent="0.25">
      <c r="A1" s="1" t="s">
        <v>83</v>
      </c>
    </row>
    <row r="3" spans="1:6" ht="16" customHeight="1" x14ac:dyDescent="0.2">
      <c r="A3" s="2" t="s">
        <v>84</v>
      </c>
      <c r="D3" s="2" t="s">
        <v>85</v>
      </c>
    </row>
    <row r="4" spans="1:6" x14ac:dyDescent="0.2">
      <c r="A4" s="5" t="s">
        <v>3</v>
      </c>
      <c r="B4" s="5" t="s">
        <v>4</v>
      </c>
      <c r="D4" s="6" t="s">
        <v>86</v>
      </c>
      <c r="F4" s="4" t="s">
        <v>55</v>
      </c>
    </row>
    <row r="5" spans="1:6" x14ac:dyDescent="0.2">
      <c r="A5" s="4" t="s">
        <v>87</v>
      </c>
      <c r="B5" s="4" t="str">
        <f>COUNTIFS(BD_EVENTOS!I:I,"Pase",BD_EVENTOS!J:J,"OK") &amp; "/" &amp; COUNTIF(BD_EVENTOS!I:I,"Pase")</f>
        <v>135/174</v>
      </c>
    </row>
    <row r="6" spans="1:6" x14ac:dyDescent="0.2">
      <c r="A6" s="4" t="s">
        <v>88</v>
      </c>
      <c r="B6" s="7">
        <f>IFERROR(COUNTIFS(Eventos[Evento],"Pase",Eventos[Resultado],"OK")/COUNTIF(Eventos[Evento],"Pase"),0)</f>
        <v>0</v>
      </c>
    </row>
    <row r="7" spans="1:6" x14ac:dyDescent="0.2">
      <c r="A7" s="4" t="s">
        <v>89</v>
      </c>
      <c r="B7" s="4" t="str">
        <f>COUNTIFS(Eventos[Evento],"Duelo",Eventos[Resultado],"Ganado") &amp; "/" &amp; COUNTIF(Eventos[Evento],"Duelo")</f>
        <v>51/83</v>
      </c>
    </row>
    <row r="8" spans="1:6" x14ac:dyDescent="0.2">
      <c r="A8" s="4" t="s">
        <v>90</v>
      </c>
      <c r="B8" s="4" t="str">
        <f>COUNTIFS(Eventos[Evento],"Duelo aéreo",Eventos[Resultado],"Ganado") &amp; "/" &amp; COUNTIF(Eventos[Evento],"Duelo aéreo")</f>
        <v>0/0</v>
      </c>
    </row>
    <row r="9" spans="1:6" x14ac:dyDescent="0.2">
      <c r="A9" s="4" t="s">
        <v>91</v>
      </c>
      <c r="B9" s="4" t="str">
        <f>COUNTIF(Eventos[Evento],"Tiro") &amp; "/" &amp; COUNTIFS(Eventos[Evento],"Tiro",Eventos[Resultado],"AP")</f>
        <v>0/0</v>
      </c>
    </row>
    <row r="10" spans="1:6" x14ac:dyDescent="0.2">
      <c r="A10" s="4" t="s">
        <v>31</v>
      </c>
      <c r="B10" s="4">
        <f>COUNTIF(Eventos[Evento],"Gol")</f>
        <v>1</v>
      </c>
    </row>
    <row r="11" spans="1:6" x14ac:dyDescent="0.2">
      <c r="A11" s="4" t="s">
        <v>33</v>
      </c>
      <c r="B11" s="4">
        <f>COUNTIF(Eventos[Evento],"Asistencia")</f>
        <v>1</v>
      </c>
    </row>
    <row r="12" spans="1:6" x14ac:dyDescent="0.2">
      <c r="A12" s="4" t="s">
        <v>26</v>
      </c>
      <c r="B12" s="4">
        <f>COUNTIF(Eventos[Evento],"Pérdida NF")</f>
        <v>0</v>
      </c>
    </row>
    <row r="13" spans="1:6" x14ac:dyDescent="0.2">
      <c r="A13" s="4" t="s">
        <v>28</v>
      </c>
      <c r="B13" s="4">
        <f>COUNTIF(Eventos[Evento],"Recuperación alta")</f>
        <v>2</v>
      </c>
    </row>
    <row r="14" spans="1:6" x14ac:dyDescent="0.2">
      <c r="A14" s="4" t="s">
        <v>92</v>
      </c>
      <c r="B14" s="4" t="str">
        <f>COUNTIF(Eventos[Evento],"Centro") &amp; "/" &amp; COUNTIF(Eventos[Evento],"Centro bueno")</f>
        <v>0/0</v>
      </c>
    </row>
    <row r="15" spans="1:6" x14ac:dyDescent="0.2">
      <c r="A15" s="4" t="s">
        <v>93</v>
      </c>
      <c r="B15" s="4" t="str">
        <f>COUNTIF(Eventos[Evento],"Pases") &amp; "/" &amp; COUNTIF(Eventos[Evento],"Pase clave")</f>
        <v>0/0</v>
      </c>
    </row>
    <row r="17" spans="10:10" x14ac:dyDescent="0.2">
      <c r="J17" t="s">
        <v>302</v>
      </c>
    </row>
  </sheetData>
  <dataValidations count="1">
    <dataValidation type="list" allowBlank="1" showInputMessage="1" showErrorMessage="1" sqref="F4" xr:uid="{00000000-0002-0000-0300-000000000000}">
      <formula1>ListaJugadores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K2"/>
  <sheetViews>
    <sheetView workbookViewId="0">
      <selection activeCell="B2" sqref="B2"/>
    </sheetView>
  </sheetViews>
  <sheetFormatPr baseColWidth="10" defaultColWidth="8.83203125" defaultRowHeight="15" x14ac:dyDescent="0.2"/>
  <sheetData>
    <row r="1" spans="1:11" x14ac:dyDescent="0.2">
      <c r="A1" s="5" t="s">
        <v>60</v>
      </c>
      <c r="B1" s="5" t="s">
        <v>94</v>
      </c>
      <c r="C1" s="5" t="s">
        <v>95</v>
      </c>
      <c r="D1" s="5" t="s">
        <v>96</v>
      </c>
      <c r="E1" s="5" t="s">
        <v>97</v>
      </c>
      <c r="F1" s="5" t="s">
        <v>98</v>
      </c>
      <c r="G1" s="5" t="s">
        <v>99</v>
      </c>
      <c r="H1" s="5" t="s">
        <v>100</v>
      </c>
      <c r="I1" s="5" t="s">
        <v>101</v>
      </c>
      <c r="J1" s="5" t="s">
        <v>102</v>
      </c>
      <c r="K1" s="5" t="s">
        <v>103</v>
      </c>
    </row>
    <row r="2" spans="1:11" x14ac:dyDescent="0.2">
      <c r="A2" t="str">
        <f>SISTEMA_PRO!$F$4</f>
        <v>NICO</v>
      </c>
      <c r="B2">
        <f>COUNTIFS(Eventos[Jugador],$A$2,Eventos[Evento],"Pase",Eventos[Resultado],"OK")</f>
        <v>0</v>
      </c>
      <c r="C2">
        <f>COUNTIFS(Eventos[Jugador],$A$2,Eventos[Evento],"Pase")</f>
        <v>0</v>
      </c>
      <c r="D2">
        <f>COUNTIFS(Eventos[Jugador],$A$2,Eventos[Evento],"Duel",Eventos[Resultado],"Ganado")</f>
        <v>0</v>
      </c>
      <c r="E2">
        <f>COUNTIFS(Eventos[Jugador],$A$2,Eventos[Evento],"Duel")</f>
        <v>0</v>
      </c>
      <c r="F2">
        <f>COUNTIFS(Eventos[Jugador],$A$2,Eventos[Evento],"Regate",Eventos[Resultado],"OK")</f>
        <v>0</v>
      </c>
      <c r="G2">
        <f>COUNTIFS(Eventos[Jugador],$A$2,Eventos[Evento],"Regate")</f>
        <v>0</v>
      </c>
      <c r="H2">
        <f>COUNTIFS(Eventos[Jugador],$A$2,Eventos[Evento],"Tiro",Eventos[Resultado],"AP")</f>
        <v>0</v>
      </c>
      <c r="I2">
        <f>COUNTIFS(Eventos[Jugador],$A$2,Eventos[Evento],"Tiro")</f>
        <v>0</v>
      </c>
      <c r="J2">
        <f>COUNTIFS(Eventos[Jugador],$A$2,Eventos[Evento],"Centro bueno")</f>
        <v>0</v>
      </c>
      <c r="K2">
        <f>COUNTIFS(Eventos[Jugador],$A$2,Eventos[Evento],"Centro")</f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K23"/>
  <sheetViews>
    <sheetView workbookViewId="0">
      <selection activeCell="B2" sqref="B2"/>
    </sheetView>
  </sheetViews>
  <sheetFormatPr baseColWidth="10" defaultColWidth="8.83203125" defaultRowHeight="15" x14ac:dyDescent="0.2"/>
  <cols>
    <col min="1" max="6" width="20.6640625" customWidth="1"/>
    <col min="11" max="11" width="11.33203125" customWidth="1"/>
  </cols>
  <sheetData>
    <row r="1" spans="1:6" x14ac:dyDescent="0.2">
      <c r="A1" s="5" t="s">
        <v>60</v>
      </c>
      <c r="B1" s="5" t="s">
        <v>104</v>
      </c>
      <c r="C1" s="5" t="s">
        <v>105</v>
      </c>
      <c r="D1" s="5" t="s">
        <v>106</v>
      </c>
      <c r="E1" s="5" t="s">
        <v>107</v>
      </c>
      <c r="F1" s="5" t="s">
        <v>108</v>
      </c>
    </row>
    <row r="2" spans="1:6" x14ac:dyDescent="0.2">
      <c r="A2" t="str">
        <f>SISTEMA_PRO!$F$4</f>
        <v>NICO</v>
      </c>
      <c r="B2">
        <f>IFERROR(HELPER_JUGADOR!B2/HELPER_JUGADOR!C2,0)</f>
        <v>0</v>
      </c>
      <c r="C2">
        <f>IFERROR(HELPER_JUGADOR!D2/HELPER_JUGADOR!E2,0)</f>
        <v>0</v>
      </c>
      <c r="D2">
        <f>IFERROR(HELPER_JUGADOR!F2/HELPER_JUGADOR!G2,0)</f>
        <v>0</v>
      </c>
      <c r="E2">
        <f>IFERROR(HELPER_JUGADOR!H2/HELPER_JUGADOR!I2,0)</f>
        <v>0</v>
      </c>
      <c r="F2">
        <f>IFERROR(HELPER_JUGADOR!J2/HELPER_JUGADOR!K2,0)</f>
        <v>0</v>
      </c>
    </row>
    <row r="23" spans="11:11" x14ac:dyDescent="0.2">
      <c r="K23" t="s">
        <v>302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C603A-202B-DB4F-BE19-2418F67812E0}">
  <sheetPr codeName="Hoja15"/>
  <dimension ref="A2:Z85"/>
  <sheetViews>
    <sheetView workbookViewId="0">
      <selection activeCell="C63" sqref="C63"/>
    </sheetView>
  </sheetViews>
  <sheetFormatPr baseColWidth="10" defaultColWidth="10.83203125" defaultRowHeight="15" x14ac:dyDescent="0.2"/>
  <cols>
    <col min="1" max="1" width="15.83203125" bestFit="1" customWidth="1"/>
    <col min="2" max="2" width="20.33203125" bestFit="1" customWidth="1"/>
    <col min="3" max="3" width="13.5" bestFit="1" customWidth="1"/>
    <col min="4" max="4" width="8" bestFit="1" customWidth="1"/>
    <col min="5" max="5" width="9.6640625" bestFit="1" customWidth="1"/>
    <col min="6" max="6" width="11.1640625" bestFit="1" customWidth="1"/>
    <col min="7" max="7" width="9.6640625" bestFit="1" customWidth="1"/>
    <col min="8" max="8" width="11.1640625" bestFit="1" customWidth="1"/>
    <col min="9" max="9" width="8.33203125" bestFit="1" customWidth="1"/>
    <col min="10" max="13" width="15.83203125" bestFit="1" customWidth="1"/>
    <col min="14" max="14" width="20.33203125" bestFit="1" customWidth="1"/>
    <col min="15" max="15" width="7" bestFit="1" customWidth="1"/>
    <col min="16" max="16" width="3.33203125" bestFit="1" customWidth="1"/>
    <col min="17" max="17" width="7.33203125" bestFit="1" customWidth="1"/>
    <col min="18" max="18" width="9.6640625" bestFit="1" customWidth="1"/>
    <col min="19" max="19" width="11.1640625" bestFit="1" customWidth="1"/>
    <col min="20" max="20" width="15.83203125" bestFit="1" customWidth="1"/>
    <col min="21" max="21" width="20.33203125" bestFit="1" customWidth="1"/>
    <col min="22" max="22" width="7" bestFit="1" customWidth="1"/>
    <col min="23" max="23" width="4.1640625" bestFit="1" customWidth="1"/>
    <col min="24" max="24" width="7.33203125" bestFit="1" customWidth="1"/>
    <col min="25" max="26" width="11.1640625" bestFit="1" customWidth="1"/>
    <col min="27" max="27" width="9.33203125" bestFit="1" customWidth="1"/>
    <col min="28" max="28" width="13.5" bestFit="1" customWidth="1"/>
    <col min="29" max="29" width="12.5" bestFit="1" customWidth="1"/>
    <col min="30" max="30" width="7.83203125" bestFit="1" customWidth="1"/>
    <col min="31" max="31" width="10.1640625" bestFit="1" customWidth="1"/>
    <col min="32" max="32" width="11.1640625" bestFit="1" customWidth="1"/>
    <col min="33" max="33" width="9.33203125" bestFit="1" customWidth="1"/>
    <col min="34" max="34" width="13.5" bestFit="1" customWidth="1"/>
    <col min="35" max="35" width="12.5" bestFit="1" customWidth="1"/>
    <col min="36" max="36" width="7.83203125" bestFit="1" customWidth="1"/>
    <col min="37" max="37" width="10.1640625" bestFit="1" customWidth="1"/>
    <col min="38" max="38" width="7.5" bestFit="1" customWidth="1"/>
    <col min="39" max="39" width="9.33203125" bestFit="1" customWidth="1"/>
    <col min="40" max="40" width="13.5" bestFit="1" customWidth="1"/>
    <col min="41" max="41" width="12.5" bestFit="1" customWidth="1"/>
    <col min="42" max="42" width="7.83203125" bestFit="1" customWidth="1"/>
    <col min="43" max="43" width="10.1640625" bestFit="1" customWidth="1"/>
    <col min="44" max="44" width="11.5" bestFit="1" customWidth="1"/>
    <col min="45" max="45" width="11.33203125" bestFit="1" customWidth="1"/>
    <col min="46" max="46" width="13.5" bestFit="1" customWidth="1"/>
    <col min="47" max="47" width="12.5" bestFit="1" customWidth="1"/>
    <col min="48" max="48" width="10.1640625" bestFit="1" customWidth="1"/>
    <col min="49" max="49" width="13.83203125" bestFit="1" customWidth="1"/>
    <col min="50" max="50" width="11.1640625" bestFit="1" customWidth="1"/>
    <col min="51" max="51" width="3.33203125" bestFit="1" customWidth="1"/>
    <col min="52" max="52" width="7.33203125" bestFit="1" customWidth="1"/>
    <col min="53" max="53" width="9.6640625" bestFit="1" customWidth="1"/>
    <col min="54" max="54" width="14.83203125" bestFit="1" customWidth="1"/>
    <col min="55" max="55" width="7.5" bestFit="1" customWidth="1"/>
    <col min="56" max="56" width="3.33203125" bestFit="1" customWidth="1"/>
    <col min="57" max="57" width="7.33203125" bestFit="1" customWidth="1"/>
    <col min="58" max="58" width="9.6640625" bestFit="1" customWidth="1"/>
    <col min="59" max="59" width="10" bestFit="1" customWidth="1"/>
    <col min="60" max="60" width="20.5" bestFit="1" customWidth="1"/>
    <col min="61" max="61" width="3.33203125" bestFit="1" customWidth="1"/>
    <col min="62" max="62" width="9.6640625" bestFit="1" customWidth="1"/>
    <col min="63" max="63" width="23.1640625" bestFit="1" customWidth="1"/>
    <col min="64" max="64" width="11.33203125" bestFit="1" customWidth="1"/>
    <col min="65" max="65" width="13.83203125" bestFit="1" customWidth="1"/>
    <col min="66" max="66" width="13.5" bestFit="1" customWidth="1"/>
    <col min="67" max="67" width="9.6640625" bestFit="1" customWidth="1"/>
    <col min="68" max="68" width="16" bestFit="1" customWidth="1"/>
    <col min="69" max="69" width="11.1640625" bestFit="1" customWidth="1"/>
  </cols>
  <sheetData>
    <row r="2" spans="1:22" x14ac:dyDescent="0.2">
      <c r="A2" s="18" t="s">
        <v>216</v>
      </c>
      <c r="B2" t="s">
        <v>219</v>
      </c>
    </row>
    <row r="3" spans="1:22" x14ac:dyDescent="0.2">
      <c r="A3" s="18" t="s">
        <v>207</v>
      </c>
      <c r="B3" t="s">
        <v>325</v>
      </c>
    </row>
    <row r="5" spans="1:22" x14ac:dyDescent="0.2">
      <c r="A5" s="18" t="s">
        <v>223</v>
      </c>
      <c r="B5" s="18" t="s">
        <v>222</v>
      </c>
    </row>
    <row r="6" spans="1:22" x14ac:dyDescent="0.2">
      <c r="A6" s="18" t="s">
        <v>220</v>
      </c>
      <c r="B6" t="s">
        <v>32</v>
      </c>
      <c r="C6" t="s">
        <v>38</v>
      </c>
      <c r="D6" t="s">
        <v>40</v>
      </c>
      <c r="E6" t="s">
        <v>16</v>
      </c>
      <c r="F6" t="s">
        <v>30</v>
      </c>
      <c r="G6" t="s">
        <v>6</v>
      </c>
      <c r="H6" t="s">
        <v>9</v>
      </c>
      <c r="I6" t="s">
        <v>76</v>
      </c>
      <c r="J6" t="s">
        <v>36</v>
      </c>
      <c r="K6" t="s">
        <v>34</v>
      </c>
      <c r="L6" t="s">
        <v>12</v>
      </c>
      <c r="M6" t="s">
        <v>14</v>
      </c>
      <c r="N6" t="s">
        <v>200</v>
      </c>
      <c r="O6" t="s">
        <v>199</v>
      </c>
      <c r="P6" t="s">
        <v>205</v>
      </c>
      <c r="Q6" t="s">
        <v>242</v>
      </c>
      <c r="R6" t="s">
        <v>23</v>
      </c>
      <c r="S6" t="s">
        <v>261</v>
      </c>
      <c r="T6" t="s">
        <v>311</v>
      </c>
      <c r="U6" t="s">
        <v>82</v>
      </c>
      <c r="V6" t="s">
        <v>221</v>
      </c>
    </row>
    <row r="7" spans="1:22" x14ac:dyDescent="0.2">
      <c r="A7" s="19" t="s">
        <v>305</v>
      </c>
      <c r="B7" s="34"/>
      <c r="C7" s="34"/>
      <c r="D7" s="34"/>
      <c r="E7" s="34"/>
      <c r="F7" s="34"/>
      <c r="G7" s="34">
        <v>2</v>
      </c>
      <c r="H7" s="34"/>
      <c r="I7" s="34"/>
      <c r="J7" s="34"/>
      <c r="K7" s="34"/>
      <c r="L7" s="34"/>
      <c r="M7" s="34">
        <v>2</v>
      </c>
      <c r="N7" s="34">
        <v>8</v>
      </c>
      <c r="O7" s="34"/>
      <c r="P7" s="34">
        <v>2</v>
      </c>
      <c r="Q7" s="34"/>
      <c r="R7" s="34"/>
      <c r="S7" s="34">
        <v>4</v>
      </c>
      <c r="T7" s="34">
        <v>4</v>
      </c>
      <c r="U7" s="34"/>
      <c r="V7" s="34">
        <v>22</v>
      </c>
    </row>
    <row r="8" spans="1:22" x14ac:dyDescent="0.2">
      <c r="A8" s="19" t="s">
        <v>282</v>
      </c>
      <c r="B8" s="34">
        <v>4</v>
      </c>
      <c r="C8" s="34">
        <v>4</v>
      </c>
      <c r="D8" s="34"/>
      <c r="E8" s="34"/>
      <c r="F8" s="34">
        <v>10</v>
      </c>
      <c r="G8" s="34">
        <v>2</v>
      </c>
      <c r="H8" s="34"/>
      <c r="I8" s="34"/>
      <c r="J8" s="34"/>
      <c r="K8" s="34"/>
      <c r="L8" s="34"/>
      <c r="M8" s="34">
        <v>2</v>
      </c>
      <c r="N8" s="34">
        <v>6</v>
      </c>
      <c r="O8" s="34"/>
      <c r="P8" s="34">
        <v>2</v>
      </c>
      <c r="Q8" s="34"/>
      <c r="R8" s="34"/>
      <c r="S8" s="34"/>
      <c r="T8" s="34">
        <v>2</v>
      </c>
      <c r="U8" s="34"/>
      <c r="V8" s="34">
        <v>32</v>
      </c>
    </row>
    <row r="9" spans="1:22" x14ac:dyDescent="0.2">
      <c r="A9" s="19" t="s">
        <v>283</v>
      </c>
      <c r="B9" s="34"/>
      <c r="C9" s="34"/>
      <c r="D9" s="34"/>
      <c r="E9" s="34"/>
      <c r="F9" s="34">
        <v>12</v>
      </c>
      <c r="G9" s="34">
        <v>4</v>
      </c>
      <c r="H9" s="34"/>
      <c r="I9" s="34">
        <v>2</v>
      </c>
      <c r="J9" s="34">
        <v>2</v>
      </c>
      <c r="K9" s="34"/>
      <c r="L9" s="34"/>
      <c r="M9" s="34"/>
      <c r="N9" s="34">
        <v>10</v>
      </c>
      <c r="O9" s="34">
        <v>2</v>
      </c>
      <c r="P9" s="34">
        <v>2</v>
      </c>
      <c r="Q9" s="34"/>
      <c r="R9" s="34"/>
      <c r="S9" s="34">
        <v>2</v>
      </c>
      <c r="T9" s="34">
        <v>2</v>
      </c>
      <c r="U9" s="34"/>
      <c r="V9" s="34">
        <v>38</v>
      </c>
    </row>
    <row r="10" spans="1:22" x14ac:dyDescent="0.2">
      <c r="A10" s="19" t="s">
        <v>285</v>
      </c>
      <c r="B10" s="34"/>
      <c r="C10" s="34"/>
      <c r="D10" s="34"/>
      <c r="E10" s="34"/>
      <c r="F10" s="34"/>
      <c r="G10" s="34"/>
      <c r="H10" s="34"/>
      <c r="I10" s="34"/>
      <c r="J10" s="34"/>
      <c r="K10" s="34"/>
      <c r="L10" s="34">
        <v>2</v>
      </c>
      <c r="M10" s="34"/>
      <c r="N10" s="34">
        <v>2</v>
      </c>
      <c r="O10" s="34">
        <v>4</v>
      </c>
      <c r="P10" s="34"/>
      <c r="Q10" s="34"/>
      <c r="R10" s="34"/>
      <c r="S10" s="34"/>
      <c r="T10" s="34"/>
      <c r="U10" s="34"/>
      <c r="V10" s="34">
        <v>8</v>
      </c>
    </row>
    <row r="11" spans="1:22" x14ac:dyDescent="0.2">
      <c r="A11" s="19" t="s">
        <v>287</v>
      </c>
      <c r="B11" s="34"/>
      <c r="C11" s="34">
        <v>2</v>
      </c>
      <c r="D11" s="34"/>
      <c r="E11" s="34"/>
      <c r="F11" s="34"/>
      <c r="G11" s="34">
        <v>2</v>
      </c>
      <c r="H11" s="34"/>
      <c r="I11" s="34"/>
      <c r="J11" s="34"/>
      <c r="K11" s="34"/>
      <c r="L11" s="34"/>
      <c r="M11" s="34">
        <v>4</v>
      </c>
      <c r="N11" s="34"/>
      <c r="O11" s="34">
        <v>4</v>
      </c>
      <c r="P11" s="34"/>
      <c r="Q11" s="34"/>
      <c r="R11" s="34"/>
      <c r="S11" s="34">
        <v>2</v>
      </c>
      <c r="T11" s="34">
        <v>2</v>
      </c>
      <c r="U11" s="34"/>
      <c r="V11" s="34">
        <v>16</v>
      </c>
    </row>
    <row r="12" spans="1:22" x14ac:dyDescent="0.2">
      <c r="A12" s="19" t="s">
        <v>290</v>
      </c>
      <c r="B12" s="34"/>
      <c r="C12" s="34"/>
      <c r="D12" s="34"/>
      <c r="E12" s="34"/>
      <c r="F12" s="34">
        <v>18</v>
      </c>
      <c r="G12" s="34">
        <v>6</v>
      </c>
      <c r="H12" s="34"/>
      <c r="I12" s="34"/>
      <c r="J12" s="34"/>
      <c r="K12" s="34"/>
      <c r="L12" s="34"/>
      <c r="M12" s="34"/>
      <c r="N12" s="34">
        <v>4</v>
      </c>
      <c r="O12" s="34"/>
      <c r="P12" s="34"/>
      <c r="Q12" s="34"/>
      <c r="R12" s="34"/>
      <c r="S12" s="34"/>
      <c r="T12" s="34"/>
      <c r="U12" s="34"/>
      <c r="V12" s="34">
        <v>28</v>
      </c>
    </row>
    <row r="13" spans="1:22" x14ac:dyDescent="0.2">
      <c r="A13" s="19" t="s">
        <v>293</v>
      </c>
      <c r="B13" s="34"/>
      <c r="C13" s="34"/>
      <c r="D13" s="34">
        <v>2</v>
      </c>
      <c r="E13" s="34"/>
      <c r="F13" s="34">
        <v>2</v>
      </c>
      <c r="G13" s="34">
        <v>8</v>
      </c>
      <c r="H13" s="34"/>
      <c r="I13" s="34">
        <v>2</v>
      </c>
      <c r="J13" s="34">
        <v>2</v>
      </c>
      <c r="K13" s="34">
        <v>2</v>
      </c>
      <c r="L13" s="34">
        <v>4</v>
      </c>
      <c r="M13" s="34">
        <v>2</v>
      </c>
      <c r="N13" s="34">
        <v>6</v>
      </c>
      <c r="O13" s="34"/>
      <c r="P13" s="34">
        <v>2</v>
      </c>
      <c r="Q13" s="34"/>
      <c r="R13" s="34">
        <v>2</v>
      </c>
      <c r="S13" s="34">
        <v>8</v>
      </c>
      <c r="T13" s="34">
        <v>10</v>
      </c>
      <c r="U13" s="34"/>
      <c r="V13" s="34">
        <v>52</v>
      </c>
    </row>
    <row r="14" spans="1:22" x14ac:dyDescent="0.2">
      <c r="A14" s="19" t="s">
        <v>294</v>
      </c>
      <c r="B14" s="34"/>
      <c r="C14" s="34"/>
      <c r="D14" s="34"/>
      <c r="E14" s="34"/>
      <c r="F14" s="34">
        <v>14</v>
      </c>
      <c r="G14" s="34">
        <v>6</v>
      </c>
      <c r="H14" s="34">
        <v>2</v>
      </c>
      <c r="I14" s="34"/>
      <c r="J14" s="34"/>
      <c r="K14" s="34"/>
      <c r="L14" s="34"/>
      <c r="M14" s="34"/>
      <c r="N14" s="34">
        <v>10</v>
      </c>
      <c r="O14" s="34">
        <v>4</v>
      </c>
      <c r="P14" s="34">
        <v>8</v>
      </c>
      <c r="Q14" s="34"/>
      <c r="R14" s="34"/>
      <c r="S14" s="34"/>
      <c r="T14" s="34">
        <v>6</v>
      </c>
      <c r="U14" s="34">
        <v>2</v>
      </c>
      <c r="V14" s="34">
        <v>52</v>
      </c>
    </row>
    <row r="15" spans="1:22" x14ac:dyDescent="0.2">
      <c r="A15" s="19" t="s">
        <v>295</v>
      </c>
      <c r="B15" s="34"/>
      <c r="C15" s="34"/>
      <c r="D15" s="34"/>
      <c r="E15" s="34"/>
      <c r="F15" s="34">
        <v>6</v>
      </c>
      <c r="G15" s="34">
        <v>4</v>
      </c>
      <c r="H15" s="34"/>
      <c r="I15" s="34"/>
      <c r="J15" s="34"/>
      <c r="K15" s="34"/>
      <c r="L15" s="34"/>
      <c r="M15" s="34"/>
      <c r="N15" s="34">
        <v>12</v>
      </c>
      <c r="O15" s="34"/>
      <c r="P15" s="34"/>
      <c r="Q15" s="34"/>
      <c r="R15" s="34"/>
      <c r="S15" s="34"/>
      <c r="T15" s="34"/>
      <c r="U15" s="34"/>
      <c r="V15" s="34">
        <v>22</v>
      </c>
    </row>
    <row r="16" spans="1:22" x14ac:dyDescent="0.2">
      <c r="A16" s="19" t="s">
        <v>284</v>
      </c>
      <c r="B16" s="34"/>
      <c r="C16" s="34"/>
      <c r="D16" s="34"/>
      <c r="E16" s="34"/>
      <c r="F16" s="34"/>
      <c r="G16" s="34">
        <v>2</v>
      </c>
      <c r="H16" s="34"/>
      <c r="I16" s="34"/>
      <c r="J16" s="34"/>
      <c r="K16" s="34"/>
      <c r="L16" s="34"/>
      <c r="M16" s="34"/>
      <c r="N16" s="34">
        <v>4</v>
      </c>
      <c r="O16" s="34"/>
      <c r="P16" s="34"/>
      <c r="Q16" s="34"/>
      <c r="R16" s="34"/>
      <c r="S16" s="34"/>
      <c r="T16" s="34"/>
      <c r="U16" s="34"/>
      <c r="V16" s="34">
        <v>6</v>
      </c>
    </row>
    <row r="17" spans="1:22" x14ac:dyDescent="0.2">
      <c r="A17" s="19" t="s">
        <v>242</v>
      </c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>
        <v>4</v>
      </c>
      <c r="R17" s="34"/>
      <c r="S17" s="34"/>
      <c r="T17" s="34"/>
      <c r="U17" s="34"/>
      <c r="V17" s="34">
        <v>4</v>
      </c>
    </row>
    <row r="18" spans="1:22" x14ac:dyDescent="0.2">
      <c r="A18" s="19" t="s">
        <v>292</v>
      </c>
      <c r="B18" s="34">
        <v>2</v>
      </c>
      <c r="C18" s="34"/>
      <c r="D18" s="34">
        <v>4</v>
      </c>
      <c r="E18" s="34"/>
      <c r="F18" s="34">
        <v>6</v>
      </c>
      <c r="G18" s="34">
        <v>8</v>
      </c>
      <c r="H18" s="34">
        <v>2</v>
      </c>
      <c r="I18" s="34">
        <v>2</v>
      </c>
      <c r="J18" s="34"/>
      <c r="K18" s="34"/>
      <c r="L18" s="34"/>
      <c r="M18" s="34">
        <v>4</v>
      </c>
      <c r="N18" s="34">
        <v>12</v>
      </c>
      <c r="O18" s="34">
        <v>8</v>
      </c>
      <c r="P18" s="34">
        <v>2</v>
      </c>
      <c r="Q18" s="34"/>
      <c r="R18" s="34">
        <v>2</v>
      </c>
      <c r="S18" s="34"/>
      <c r="T18" s="34">
        <v>24</v>
      </c>
      <c r="U18" s="34"/>
      <c r="V18" s="34">
        <v>76</v>
      </c>
    </row>
    <row r="19" spans="1:22" x14ac:dyDescent="0.2">
      <c r="A19" s="19" t="s">
        <v>306</v>
      </c>
      <c r="B19" s="34"/>
      <c r="C19" s="34">
        <v>2</v>
      </c>
      <c r="D19" s="34"/>
      <c r="E19" s="34">
        <v>2</v>
      </c>
      <c r="F19" s="34"/>
      <c r="G19" s="34">
        <v>2</v>
      </c>
      <c r="H19" s="34">
        <v>2</v>
      </c>
      <c r="I19" s="34">
        <v>2</v>
      </c>
      <c r="J19" s="34"/>
      <c r="K19" s="34"/>
      <c r="L19" s="34"/>
      <c r="M19" s="34">
        <v>6</v>
      </c>
      <c r="N19" s="34">
        <v>20</v>
      </c>
      <c r="O19" s="34">
        <v>4</v>
      </c>
      <c r="P19" s="34"/>
      <c r="Q19" s="34"/>
      <c r="R19" s="34"/>
      <c r="S19" s="34"/>
      <c r="T19" s="34">
        <v>4</v>
      </c>
      <c r="U19" s="34"/>
      <c r="V19" s="34">
        <v>44</v>
      </c>
    </row>
    <row r="20" spans="1:22" x14ac:dyDescent="0.2">
      <c r="A20" s="19" t="s">
        <v>319</v>
      </c>
      <c r="B20" s="34"/>
      <c r="C20" s="34">
        <v>2</v>
      </c>
      <c r="D20" s="34"/>
      <c r="E20" s="34"/>
      <c r="F20" s="34">
        <v>4</v>
      </c>
      <c r="G20" s="34"/>
      <c r="H20" s="34"/>
      <c r="I20" s="34"/>
      <c r="J20" s="34"/>
      <c r="K20" s="34"/>
      <c r="L20" s="34"/>
      <c r="M20" s="34"/>
      <c r="N20" s="34">
        <v>6</v>
      </c>
      <c r="O20" s="34"/>
      <c r="P20" s="34"/>
      <c r="Q20" s="34"/>
      <c r="R20" s="34"/>
      <c r="S20" s="34"/>
      <c r="T20" s="34"/>
      <c r="U20" s="34"/>
      <c r="V20" s="34">
        <v>12</v>
      </c>
    </row>
    <row r="21" spans="1:22" x14ac:dyDescent="0.2">
      <c r="A21" s="19" t="s">
        <v>221</v>
      </c>
      <c r="B21" s="34">
        <v>6</v>
      </c>
      <c r="C21" s="34">
        <v>10</v>
      </c>
      <c r="D21" s="34">
        <v>6</v>
      </c>
      <c r="E21" s="34">
        <v>2</v>
      </c>
      <c r="F21" s="34">
        <v>72</v>
      </c>
      <c r="G21" s="34">
        <v>46</v>
      </c>
      <c r="H21" s="34">
        <v>6</v>
      </c>
      <c r="I21" s="34">
        <v>8</v>
      </c>
      <c r="J21" s="34">
        <v>4</v>
      </c>
      <c r="K21" s="34">
        <v>2</v>
      </c>
      <c r="L21" s="34">
        <v>6</v>
      </c>
      <c r="M21" s="34">
        <v>20</v>
      </c>
      <c r="N21" s="34">
        <v>100</v>
      </c>
      <c r="O21" s="34">
        <v>26</v>
      </c>
      <c r="P21" s="34">
        <v>18</v>
      </c>
      <c r="Q21" s="34">
        <v>4</v>
      </c>
      <c r="R21" s="34">
        <v>4</v>
      </c>
      <c r="S21" s="34">
        <v>16</v>
      </c>
      <c r="T21" s="34">
        <v>54</v>
      </c>
      <c r="U21" s="34">
        <v>2</v>
      </c>
      <c r="V21" s="34">
        <v>412</v>
      </c>
    </row>
    <row r="32" spans="1:22" x14ac:dyDescent="0.2">
      <c r="K32" s="18" t="s">
        <v>207</v>
      </c>
      <c r="L32" t="s">
        <v>325</v>
      </c>
    </row>
    <row r="34" spans="1:24" x14ac:dyDescent="0.2">
      <c r="K34" s="18" t="s">
        <v>220</v>
      </c>
      <c r="L34" t="s">
        <v>223</v>
      </c>
    </row>
    <row r="35" spans="1:24" x14ac:dyDescent="0.2">
      <c r="K35" s="19" t="s">
        <v>204</v>
      </c>
      <c r="L35" s="34">
        <v>54</v>
      </c>
    </row>
    <row r="36" spans="1:24" x14ac:dyDescent="0.2">
      <c r="K36" s="19" t="s">
        <v>203</v>
      </c>
      <c r="L36" s="34">
        <v>109</v>
      </c>
      <c r="X36">
        <f>GETPIVOTDATA("MINUTO",$J$47,"REsultadoAccion","Ganado")+GETPIVOTDATA("MINUTO",$J$47,"REsultadoAccion","AP")+GETPIVOTDATA("MINUTO",$J$47,"REsultadoAccion","OK")/233</f>
        <v>190.50643776824035</v>
      </c>
    </row>
    <row r="37" spans="1:24" x14ac:dyDescent="0.2">
      <c r="A37" s="18" t="s">
        <v>216</v>
      </c>
      <c r="B37" t="s">
        <v>219</v>
      </c>
      <c r="K37" s="19" t="s">
        <v>202</v>
      </c>
      <c r="L37" s="34">
        <v>38</v>
      </c>
    </row>
    <row r="38" spans="1:24" x14ac:dyDescent="0.2">
      <c r="A38" s="18" t="s">
        <v>207</v>
      </c>
      <c r="B38" t="s">
        <v>325</v>
      </c>
      <c r="K38" s="19" t="s">
        <v>242</v>
      </c>
      <c r="L38" s="34">
        <v>211</v>
      </c>
    </row>
    <row r="39" spans="1:24" x14ac:dyDescent="0.2">
      <c r="A39" s="18" t="s">
        <v>210</v>
      </c>
      <c r="B39" t="s">
        <v>219</v>
      </c>
      <c r="K39" s="19" t="s">
        <v>221</v>
      </c>
      <c r="L39" s="34">
        <v>412</v>
      </c>
    </row>
    <row r="40" spans="1:24" x14ac:dyDescent="0.2">
      <c r="A40" s="18" t="s">
        <v>212</v>
      </c>
      <c r="B40" t="s">
        <v>219</v>
      </c>
    </row>
    <row r="42" spans="1:24" x14ac:dyDescent="0.2">
      <c r="A42" s="18" t="s">
        <v>223</v>
      </c>
      <c r="B42" s="18" t="s">
        <v>222</v>
      </c>
      <c r="T42" t="s">
        <v>317</v>
      </c>
    </row>
    <row r="43" spans="1:24" x14ac:dyDescent="0.2">
      <c r="A43" s="18" t="s">
        <v>220</v>
      </c>
      <c r="B43" t="s">
        <v>204</v>
      </c>
      <c r="C43" t="s">
        <v>203</v>
      </c>
      <c r="D43" t="s">
        <v>202</v>
      </c>
      <c r="E43" t="s">
        <v>242</v>
      </c>
      <c r="F43" t="s">
        <v>221</v>
      </c>
      <c r="T43" t="s">
        <v>316</v>
      </c>
      <c r="U43">
        <v>240</v>
      </c>
    </row>
    <row r="44" spans="1:24" x14ac:dyDescent="0.2">
      <c r="A44" s="19" t="s">
        <v>65</v>
      </c>
      <c r="B44" s="34"/>
      <c r="C44" s="34"/>
      <c r="D44" s="34">
        <v>16</v>
      </c>
      <c r="E44" s="34">
        <v>16</v>
      </c>
      <c r="F44" s="34">
        <v>32</v>
      </c>
      <c r="J44" s="18" t="s">
        <v>216</v>
      </c>
      <c r="K44" t="s">
        <v>219</v>
      </c>
    </row>
    <row r="45" spans="1:24" x14ac:dyDescent="0.2">
      <c r="A45" s="19" t="s">
        <v>72</v>
      </c>
      <c r="B45" s="34"/>
      <c r="C45" s="34"/>
      <c r="D45" s="34">
        <v>12</v>
      </c>
      <c r="E45" s="34">
        <v>12</v>
      </c>
      <c r="F45" s="34">
        <v>24</v>
      </c>
      <c r="J45" s="18" t="s">
        <v>212</v>
      </c>
      <c r="K45" t="s">
        <v>219</v>
      </c>
    </row>
    <row r="46" spans="1:24" x14ac:dyDescent="0.2">
      <c r="A46" s="19" t="s">
        <v>67</v>
      </c>
      <c r="B46" s="34"/>
      <c r="C46" s="34"/>
      <c r="D46" s="34">
        <v>7</v>
      </c>
      <c r="E46" s="34">
        <v>9</v>
      </c>
      <c r="F46" s="34">
        <v>16</v>
      </c>
    </row>
    <row r="47" spans="1:24" x14ac:dyDescent="0.2">
      <c r="A47" s="19" t="s">
        <v>69</v>
      </c>
      <c r="B47" s="34">
        <v>15</v>
      </c>
      <c r="C47" s="34"/>
      <c r="D47" s="34"/>
      <c r="E47" s="34">
        <v>17</v>
      </c>
      <c r="F47" s="34">
        <v>32</v>
      </c>
      <c r="J47" s="18" t="s">
        <v>220</v>
      </c>
      <c r="K47" t="s">
        <v>223</v>
      </c>
    </row>
    <row r="48" spans="1:24" x14ac:dyDescent="0.2">
      <c r="A48" s="19" t="s">
        <v>78</v>
      </c>
      <c r="B48" s="34">
        <v>7</v>
      </c>
      <c r="C48" s="34">
        <v>5</v>
      </c>
      <c r="D48" s="34">
        <v>3</v>
      </c>
      <c r="E48" s="34">
        <v>15</v>
      </c>
      <c r="F48" s="34">
        <v>30</v>
      </c>
      <c r="J48" s="19" t="s">
        <v>80</v>
      </c>
      <c r="K48" s="34">
        <v>18</v>
      </c>
    </row>
    <row r="49" spans="1:25" x14ac:dyDescent="0.2">
      <c r="A49" s="19" t="s">
        <v>79</v>
      </c>
      <c r="B49" s="34"/>
      <c r="C49" s="34">
        <v>10</v>
      </c>
      <c r="D49" s="34"/>
      <c r="E49" s="34">
        <v>10</v>
      </c>
      <c r="F49" s="34">
        <v>20</v>
      </c>
      <c r="J49" s="19" t="s">
        <v>64</v>
      </c>
      <c r="K49" s="34">
        <v>54</v>
      </c>
      <c r="T49" s="18" t="s">
        <v>223</v>
      </c>
      <c r="U49" s="18" t="s">
        <v>222</v>
      </c>
    </row>
    <row r="50" spans="1:25" x14ac:dyDescent="0.2">
      <c r="A50" s="19" t="s">
        <v>70</v>
      </c>
      <c r="B50" s="34"/>
      <c r="C50" s="34">
        <v>5</v>
      </c>
      <c r="D50" s="34"/>
      <c r="E50" s="34">
        <v>5</v>
      </c>
      <c r="F50" s="34">
        <v>10</v>
      </c>
      <c r="J50" s="19" t="s">
        <v>71</v>
      </c>
      <c r="K50" s="34">
        <v>172</v>
      </c>
      <c r="T50" s="18" t="s">
        <v>220</v>
      </c>
      <c r="U50" t="s">
        <v>76</v>
      </c>
      <c r="V50" t="s">
        <v>36</v>
      </c>
      <c r="W50" t="s">
        <v>221</v>
      </c>
    </row>
    <row r="51" spans="1:25" x14ac:dyDescent="0.2">
      <c r="A51" s="19" t="s">
        <v>73</v>
      </c>
      <c r="B51" s="34"/>
      <c r="C51" s="34">
        <v>19</v>
      </c>
      <c r="D51" s="34"/>
      <c r="E51" s="34">
        <v>19</v>
      </c>
      <c r="F51" s="34">
        <v>38</v>
      </c>
      <c r="J51" s="19" t="s">
        <v>66</v>
      </c>
      <c r="K51" s="34">
        <v>118</v>
      </c>
      <c r="T51" s="19" t="s">
        <v>252</v>
      </c>
      <c r="U51" s="34">
        <v>11</v>
      </c>
      <c r="V51" s="34">
        <v>3</v>
      </c>
      <c r="W51" s="34">
        <v>14</v>
      </c>
    </row>
    <row r="52" spans="1:25" x14ac:dyDescent="0.2">
      <c r="A52" s="19" t="s">
        <v>74</v>
      </c>
      <c r="B52" s="34"/>
      <c r="C52" s="34">
        <v>70</v>
      </c>
      <c r="D52" s="34"/>
      <c r="E52" s="34">
        <v>70</v>
      </c>
      <c r="F52" s="34">
        <v>140</v>
      </c>
      <c r="J52" s="19" t="s">
        <v>68</v>
      </c>
      <c r="K52" s="34">
        <v>34</v>
      </c>
      <c r="T52" s="19" t="s">
        <v>303</v>
      </c>
      <c r="U52" s="34">
        <v>4</v>
      </c>
      <c r="V52" s="34">
        <v>13</v>
      </c>
      <c r="W52" s="34">
        <v>17</v>
      </c>
    </row>
    <row r="53" spans="1:25" x14ac:dyDescent="0.2">
      <c r="A53" s="19" t="s">
        <v>75</v>
      </c>
      <c r="B53" s="34">
        <v>32</v>
      </c>
      <c r="C53" s="34"/>
      <c r="D53" s="34"/>
      <c r="E53" s="34">
        <v>34</v>
      </c>
      <c r="F53" s="34">
        <v>66</v>
      </c>
      <c r="J53" s="19" t="s">
        <v>242</v>
      </c>
      <c r="K53" s="34">
        <v>16</v>
      </c>
      <c r="T53" s="19" t="s">
        <v>224</v>
      </c>
      <c r="U53" s="34">
        <v>4</v>
      </c>
      <c r="V53" s="34">
        <v>9</v>
      </c>
      <c r="W53" s="34">
        <v>13</v>
      </c>
    </row>
    <row r="54" spans="1:25" x14ac:dyDescent="0.2">
      <c r="A54" s="19" t="s">
        <v>242</v>
      </c>
      <c r="B54" s="34"/>
      <c r="C54" s="34"/>
      <c r="D54" s="34"/>
      <c r="E54" s="34">
        <v>4</v>
      </c>
      <c r="F54" s="34">
        <v>4</v>
      </c>
      <c r="J54" s="19" t="s">
        <v>221</v>
      </c>
      <c r="K54" s="34">
        <v>412</v>
      </c>
      <c r="M54" s="18" t="s">
        <v>216</v>
      </c>
      <c r="N54" t="s">
        <v>219</v>
      </c>
      <c r="T54" s="19" t="s">
        <v>50</v>
      </c>
      <c r="U54" s="34">
        <v>4</v>
      </c>
      <c r="V54" s="34">
        <v>4</v>
      </c>
      <c r="W54" s="34">
        <v>8</v>
      </c>
    </row>
    <row r="55" spans="1:25" x14ac:dyDescent="0.2">
      <c r="A55" s="19" t="s">
        <v>221</v>
      </c>
      <c r="B55" s="34">
        <v>54</v>
      </c>
      <c r="C55" s="34">
        <v>109</v>
      </c>
      <c r="D55" s="34">
        <v>38</v>
      </c>
      <c r="E55" s="34">
        <v>211</v>
      </c>
      <c r="F55" s="34">
        <v>412</v>
      </c>
      <c r="T55" s="19" t="s">
        <v>318</v>
      </c>
      <c r="U55" s="34">
        <v>5</v>
      </c>
      <c r="V55" s="34">
        <v>4</v>
      </c>
      <c r="W55" s="34">
        <v>9</v>
      </c>
    </row>
    <row r="56" spans="1:25" x14ac:dyDescent="0.2">
      <c r="M56" s="18" t="s">
        <v>223</v>
      </c>
      <c r="N56" s="18" t="s">
        <v>222</v>
      </c>
      <c r="T56" s="19" t="s">
        <v>325</v>
      </c>
      <c r="U56" s="34">
        <v>8</v>
      </c>
      <c r="V56" s="34">
        <v>4</v>
      </c>
      <c r="W56" s="34">
        <v>12</v>
      </c>
    </row>
    <row r="57" spans="1:25" x14ac:dyDescent="0.2">
      <c r="M57" s="18" t="s">
        <v>220</v>
      </c>
      <c r="N57" t="s">
        <v>64</v>
      </c>
      <c r="O57" t="s">
        <v>71</v>
      </c>
      <c r="P57" t="s">
        <v>66</v>
      </c>
      <c r="Q57" t="s">
        <v>68</v>
      </c>
      <c r="R57" t="s">
        <v>242</v>
      </c>
      <c r="S57" t="s">
        <v>221</v>
      </c>
      <c r="T57" s="19" t="s">
        <v>221</v>
      </c>
      <c r="U57" s="34">
        <v>36</v>
      </c>
      <c r="V57" s="34">
        <v>37</v>
      </c>
      <c r="W57" s="34">
        <v>73</v>
      </c>
    </row>
    <row r="58" spans="1:25" x14ac:dyDescent="0.2">
      <c r="M58" s="19" t="s">
        <v>261</v>
      </c>
      <c r="N58" s="34">
        <v>11</v>
      </c>
      <c r="O58" s="34">
        <v>4</v>
      </c>
      <c r="P58" s="34">
        <v>28</v>
      </c>
      <c r="Q58" s="34">
        <v>2</v>
      </c>
      <c r="R58" s="34">
        <v>1</v>
      </c>
      <c r="S58" s="34">
        <v>46</v>
      </c>
    </row>
    <row r="59" spans="1:25" x14ac:dyDescent="0.2">
      <c r="A59" s="18" t="s">
        <v>212</v>
      </c>
      <c r="B59" t="s">
        <v>219</v>
      </c>
      <c r="M59" s="19" t="s">
        <v>221</v>
      </c>
      <c r="N59" s="34">
        <v>11</v>
      </c>
      <c r="O59" s="34">
        <v>4</v>
      </c>
      <c r="P59" s="34">
        <v>28</v>
      </c>
      <c r="Q59" s="34">
        <v>2</v>
      </c>
      <c r="R59" s="34">
        <v>1</v>
      </c>
      <c r="S59" s="34">
        <v>46</v>
      </c>
    </row>
    <row r="60" spans="1:25" x14ac:dyDescent="0.2">
      <c r="A60" s="18" t="s">
        <v>211</v>
      </c>
      <c r="B60" t="s">
        <v>324</v>
      </c>
      <c r="T60" s="18" t="s">
        <v>211</v>
      </c>
      <c r="U60" t="s">
        <v>219</v>
      </c>
    </row>
    <row r="61" spans="1:25" x14ac:dyDescent="0.2">
      <c r="A61" s="18" t="s">
        <v>207</v>
      </c>
      <c r="B61" t="s">
        <v>325</v>
      </c>
      <c r="T61" s="18" t="s">
        <v>213</v>
      </c>
      <c r="U61" t="s">
        <v>324</v>
      </c>
    </row>
    <row r="63" spans="1:25" x14ac:dyDescent="0.2">
      <c r="A63" s="18" t="s">
        <v>223</v>
      </c>
      <c r="B63" s="18" t="s">
        <v>222</v>
      </c>
      <c r="T63" s="18" t="s">
        <v>223</v>
      </c>
      <c r="U63" s="18" t="s">
        <v>222</v>
      </c>
    </row>
    <row r="64" spans="1:25" x14ac:dyDescent="0.2">
      <c r="A64" s="18" t="s">
        <v>220</v>
      </c>
      <c r="B64" t="s">
        <v>80</v>
      </c>
      <c r="C64" t="s">
        <v>64</v>
      </c>
      <c r="D64" t="s">
        <v>71</v>
      </c>
      <c r="E64" t="s">
        <v>66</v>
      </c>
      <c r="F64" t="s">
        <v>68</v>
      </c>
      <c r="G64" t="s">
        <v>242</v>
      </c>
      <c r="H64" t="s">
        <v>221</v>
      </c>
      <c r="T64" s="18" t="s">
        <v>220</v>
      </c>
      <c r="U64" t="s">
        <v>64</v>
      </c>
      <c r="V64" t="s">
        <v>71</v>
      </c>
      <c r="W64" t="s">
        <v>66</v>
      </c>
      <c r="X64" t="s">
        <v>68</v>
      </c>
      <c r="Y64" t="s">
        <v>221</v>
      </c>
    </row>
    <row r="65" spans="1:26" x14ac:dyDescent="0.2">
      <c r="A65" s="19" t="s">
        <v>205</v>
      </c>
      <c r="B65" s="34"/>
      <c r="C65" s="35"/>
      <c r="D65" s="35">
        <v>2</v>
      </c>
      <c r="E65" s="35">
        <v>14</v>
      </c>
      <c r="F65" s="35"/>
      <c r="G65" s="35">
        <v>2</v>
      </c>
      <c r="H65" s="35">
        <v>18</v>
      </c>
      <c r="T65" s="19" t="s">
        <v>252</v>
      </c>
      <c r="U65" s="34">
        <v>27</v>
      </c>
      <c r="V65" s="34">
        <v>29</v>
      </c>
      <c r="W65" s="34">
        <v>64</v>
      </c>
      <c r="X65" s="34">
        <v>18</v>
      </c>
      <c r="Y65" s="34">
        <v>138</v>
      </c>
      <c r="Z65" s="17">
        <f>93/138</f>
        <v>0.67391304347826086</v>
      </c>
    </row>
    <row r="66" spans="1:26" x14ac:dyDescent="0.2">
      <c r="A66" s="19" t="s">
        <v>23</v>
      </c>
      <c r="B66" s="34"/>
      <c r="C66" s="35"/>
      <c r="D66" s="35"/>
      <c r="E66" s="35">
        <v>4</v>
      </c>
      <c r="F66" s="35"/>
      <c r="G66" s="35"/>
      <c r="H66" s="35">
        <v>4</v>
      </c>
      <c r="T66" s="19" t="s">
        <v>303</v>
      </c>
      <c r="U66" s="34">
        <v>30</v>
      </c>
      <c r="V66" s="34">
        <v>96</v>
      </c>
      <c r="W66" s="34">
        <v>54</v>
      </c>
      <c r="X66" s="34">
        <v>20</v>
      </c>
      <c r="Y66" s="34">
        <v>200</v>
      </c>
      <c r="Z66" s="17">
        <f>150/200</f>
        <v>0.75</v>
      </c>
    </row>
    <row r="67" spans="1:26" x14ac:dyDescent="0.2">
      <c r="A67" s="19" t="s">
        <v>199</v>
      </c>
      <c r="B67" s="34"/>
      <c r="C67" s="35"/>
      <c r="D67" s="35">
        <v>20</v>
      </c>
      <c r="E67" s="35"/>
      <c r="F67" s="35">
        <v>6</v>
      </c>
      <c r="G67" s="35"/>
      <c r="H67" s="35">
        <v>26</v>
      </c>
      <c r="T67" s="19" t="s">
        <v>224</v>
      </c>
      <c r="U67" s="34">
        <v>19</v>
      </c>
      <c r="V67" s="34">
        <v>36</v>
      </c>
      <c r="W67" s="34">
        <v>40</v>
      </c>
      <c r="X67" s="34">
        <v>12</v>
      </c>
      <c r="Y67" s="34">
        <v>107</v>
      </c>
      <c r="Z67" s="17">
        <f>76/107</f>
        <v>0.71028037383177567</v>
      </c>
    </row>
    <row r="68" spans="1:26" x14ac:dyDescent="0.2">
      <c r="A68" s="19" t="s">
        <v>200</v>
      </c>
      <c r="B68" s="34"/>
      <c r="C68" s="35"/>
      <c r="D68" s="35">
        <v>82</v>
      </c>
      <c r="E68" s="35"/>
      <c r="F68" s="35">
        <v>18</v>
      </c>
      <c r="G68" s="35"/>
      <c r="H68" s="35">
        <v>100</v>
      </c>
      <c r="T68" s="19" t="s">
        <v>50</v>
      </c>
      <c r="U68" s="34">
        <v>16</v>
      </c>
      <c r="V68" s="34">
        <v>59</v>
      </c>
      <c r="W68" s="34">
        <v>29</v>
      </c>
      <c r="X68" s="34">
        <v>19</v>
      </c>
      <c r="Y68" s="34">
        <v>123</v>
      </c>
      <c r="Z68" s="17">
        <f>88/123</f>
        <v>0.71544715447154472</v>
      </c>
    </row>
    <row r="69" spans="1:26" x14ac:dyDescent="0.2">
      <c r="A69" s="19" t="s">
        <v>32</v>
      </c>
      <c r="B69" s="34"/>
      <c r="C69" s="35">
        <v>6</v>
      </c>
      <c r="D69" s="35"/>
      <c r="E69" s="35"/>
      <c r="F69" s="35"/>
      <c r="G69" s="35"/>
      <c r="H69" s="35">
        <v>6</v>
      </c>
      <c r="T69" s="19" t="s">
        <v>318</v>
      </c>
      <c r="U69" s="34">
        <v>26</v>
      </c>
      <c r="V69" s="34">
        <v>76</v>
      </c>
      <c r="W69" s="34">
        <v>63</v>
      </c>
      <c r="X69" s="34">
        <v>33</v>
      </c>
      <c r="Y69" s="34">
        <v>198</v>
      </c>
      <c r="Z69" s="17">
        <f>139/198</f>
        <v>0.70202020202020199</v>
      </c>
    </row>
    <row r="70" spans="1:26" x14ac:dyDescent="0.2">
      <c r="A70" s="19" t="s">
        <v>38</v>
      </c>
      <c r="B70" s="34"/>
      <c r="C70" s="35"/>
      <c r="D70" s="35"/>
      <c r="E70" s="35">
        <v>10</v>
      </c>
      <c r="F70" s="35"/>
      <c r="G70" s="35"/>
      <c r="H70" s="35">
        <v>10</v>
      </c>
      <c r="T70" s="19" t="s">
        <v>325</v>
      </c>
      <c r="U70" s="34">
        <v>54</v>
      </c>
      <c r="V70" s="34">
        <v>172</v>
      </c>
      <c r="W70" s="34">
        <v>84</v>
      </c>
      <c r="X70" s="34">
        <v>34</v>
      </c>
      <c r="Y70" s="34">
        <v>344</v>
      </c>
    </row>
    <row r="71" spans="1:26" x14ac:dyDescent="0.2">
      <c r="A71" s="19" t="s">
        <v>40</v>
      </c>
      <c r="B71" s="34"/>
      <c r="C71" s="35"/>
      <c r="D71" s="35"/>
      <c r="E71" s="35">
        <v>4</v>
      </c>
      <c r="F71" s="35"/>
      <c r="G71" s="35">
        <v>2</v>
      </c>
      <c r="H71" s="35">
        <v>6</v>
      </c>
      <c r="T71" s="19" t="s">
        <v>221</v>
      </c>
      <c r="U71" s="34">
        <v>172</v>
      </c>
      <c r="V71" s="34">
        <v>468</v>
      </c>
      <c r="W71" s="34">
        <v>334</v>
      </c>
      <c r="X71" s="34">
        <v>136</v>
      </c>
      <c r="Y71" s="34">
        <v>1110</v>
      </c>
    </row>
    <row r="72" spans="1:26" x14ac:dyDescent="0.2">
      <c r="A72" s="19" t="s">
        <v>16</v>
      </c>
      <c r="B72" s="34"/>
      <c r="C72" s="35"/>
      <c r="D72" s="35"/>
      <c r="E72" s="35">
        <v>2</v>
      </c>
      <c r="F72" s="35"/>
      <c r="G72" s="35"/>
      <c r="H72" s="35">
        <v>2</v>
      </c>
    </row>
    <row r="73" spans="1:26" x14ac:dyDescent="0.2">
      <c r="A73" s="19" t="s">
        <v>30</v>
      </c>
      <c r="B73" s="34"/>
      <c r="C73" s="35">
        <v>18</v>
      </c>
      <c r="D73" s="35">
        <v>38</v>
      </c>
      <c r="E73" s="35">
        <v>14</v>
      </c>
      <c r="F73" s="35"/>
      <c r="G73" s="35">
        <v>2</v>
      </c>
      <c r="H73" s="35">
        <v>72</v>
      </c>
    </row>
    <row r="74" spans="1:26" x14ac:dyDescent="0.2">
      <c r="A74" s="19" t="s">
        <v>6</v>
      </c>
      <c r="B74" s="34"/>
      <c r="C74" s="35">
        <v>10</v>
      </c>
      <c r="D74" s="35">
        <v>2</v>
      </c>
      <c r="E74" s="35">
        <v>32</v>
      </c>
      <c r="F74" s="35"/>
      <c r="G74" s="35">
        <v>2</v>
      </c>
      <c r="H74" s="35">
        <v>46</v>
      </c>
    </row>
    <row r="75" spans="1:26" x14ac:dyDescent="0.2">
      <c r="A75" s="19" t="s">
        <v>9</v>
      </c>
      <c r="B75" s="34"/>
      <c r="C75" s="35"/>
      <c r="D75" s="35">
        <v>2</v>
      </c>
      <c r="E75" s="35">
        <v>4</v>
      </c>
      <c r="F75" s="35"/>
      <c r="G75" s="35"/>
      <c r="H75" s="35">
        <v>6</v>
      </c>
    </row>
    <row r="76" spans="1:26" x14ac:dyDescent="0.2">
      <c r="A76" s="19" t="s">
        <v>76</v>
      </c>
      <c r="B76" s="34"/>
      <c r="C76" s="35">
        <v>2</v>
      </c>
      <c r="D76" s="35"/>
      <c r="E76" s="35">
        <v>4</v>
      </c>
      <c r="F76" s="35"/>
      <c r="G76" s="35">
        <v>2</v>
      </c>
      <c r="H76" s="35">
        <v>8</v>
      </c>
    </row>
    <row r="77" spans="1:26" x14ac:dyDescent="0.2">
      <c r="A77" s="19" t="s">
        <v>36</v>
      </c>
      <c r="B77" s="34"/>
      <c r="C77" s="35">
        <v>2</v>
      </c>
      <c r="D77" s="35"/>
      <c r="E77" s="35">
        <v>2</v>
      </c>
      <c r="F77" s="35"/>
      <c r="G77" s="35"/>
      <c r="H77" s="35">
        <v>4</v>
      </c>
    </row>
    <row r="78" spans="1:26" x14ac:dyDescent="0.2">
      <c r="A78" s="19" t="s">
        <v>34</v>
      </c>
      <c r="B78" s="34"/>
      <c r="C78" s="35"/>
      <c r="D78" s="35">
        <v>2</v>
      </c>
      <c r="E78" s="35"/>
      <c r="F78" s="35"/>
      <c r="G78" s="35"/>
      <c r="H78" s="35">
        <v>2</v>
      </c>
    </row>
    <row r="79" spans="1:26" x14ac:dyDescent="0.2">
      <c r="A79" s="19" t="s">
        <v>12</v>
      </c>
      <c r="B79" s="34"/>
      <c r="C79" s="35">
        <v>2</v>
      </c>
      <c r="D79" s="35">
        <v>4</v>
      </c>
      <c r="E79" s="35"/>
      <c r="F79" s="35"/>
      <c r="G79" s="35"/>
      <c r="H79" s="35">
        <v>6</v>
      </c>
    </row>
    <row r="80" spans="1:26" x14ac:dyDescent="0.2">
      <c r="A80" s="19" t="s">
        <v>14</v>
      </c>
      <c r="B80" s="34">
        <v>18</v>
      </c>
      <c r="C80" s="35"/>
      <c r="D80" s="35"/>
      <c r="E80" s="35">
        <v>2</v>
      </c>
      <c r="F80" s="35"/>
      <c r="G80" s="35"/>
      <c r="H80" s="35">
        <v>20</v>
      </c>
    </row>
    <row r="81" spans="1:8" x14ac:dyDescent="0.2">
      <c r="A81" s="19" t="s">
        <v>242</v>
      </c>
      <c r="B81" s="34"/>
      <c r="C81" s="35"/>
      <c r="D81" s="35"/>
      <c r="E81" s="35"/>
      <c r="F81" s="35"/>
      <c r="G81" s="35">
        <v>4</v>
      </c>
      <c r="H81" s="35">
        <v>4</v>
      </c>
    </row>
    <row r="82" spans="1:8" x14ac:dyDescent="0.2">
      <c r="A82" s="19" t="s">
        <v>261</v>
      </c>
      <c r="B82" s="34"/>
      <c r="C82" s="34"/>
      <c r="D82" s="34"/>
      <c r="E82" s="34">
        <v>16</v>
      </c>
      <c r="F82" s="34"/>
      <c r="G82" s="34"/>
      <c r="H82" s="34">
        <v>16</v>
      </c>
    </row>
    <row r="83" spans="1:8" x14ac:dyDescent="0.2">
      <c r="A83" s="19" t="s">
        <v>311</v>
      </c>
      <c r="B83" s="34"/>
      <c r="C83" s="34">
        <v>14</v>
      </c>
      <c r="D83" s="34">
        <v>20</v>
      </c>
      <c r="E83" s="34">
        <v>8</v>
      </c>
      <c r="F83" s="34">
        <v>10</v>
      </c>
      <c r="G83" s="34">
        <v>2</v>
      </c>
      <c r="H83" s="34">
        <v>54</v>
      </c>
    </row>
    <row r="84" spans="1:8" x14ac:dyDescent="0.2">
      <c r="A84" s="19" t="s">
        <v>82</v>
      </c>
      <c r="B84" s="34"/>
      <c r="C84" s="34"/>
      <c r="D84" s="34"/>
      <c r="E84" s="34">
        <v>2</v>
      </c>
      <c r="F84" s="34"/>
      <c r="G84" s="34"/>
      <c r="H84" s="34">
        <v>2</v>
      </c>
    </row>
    <row r="85" spans="1:8" x14ac:dyDescent="0.2">
      <c r="A85" s="19" t="s">
        <v>221</v>
      </c>
      <c r="B85" s="34">
        <v>18</v>
      </c>
      <c r="C85" s="34">
        <v>54</v>
      </c>
      <c r="D85" s="34">
        <v>172</v>
      </c>
      <c r="E85" s="34">
        <v>118</v>
      </c>
      <c r="F85" s="34">
        <v>34</v>
      </c>
      <c r="G85" s="34">
        <v>16</v>
      </c>
      <c r="H85" s="34">
        <v>412</v>
      </c>
    </row>
  </sheetData>
  <pageMargins left="0.7" right="0.7" top="0.75" bottom="0.75" header="0.3" footer="0.3"/>
  <drawing r:id="rId9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8DB046-E93B-054B-817F-F038BF4D71F0}">
  <sheetPr codeName="Hoja7"/>
  <dimension ref="A1:M2447"/>
  <sheetViews>
    <sheetView tabSelected="1" topLeftCell="A1519" workbookViewId="0">
      <selection activeCell="A1568" sqref="A1568:M1593"/>
    </sheetView>
  </sheetViews>
  <sheetFormatPr baseColWidth="10" defaultColWidth="10.83203125" defaultRowHeight="15" x14ac:dyDescent="0.2"/>
  <cols>
    <col min="1" max="1" width="16.33203125" bestFit="1" customWidth="1"/>
    <col min="2" max="4" width="11.33203125" customWidth="1"/>
    <col min="5" max="5" width="14.33203125" bestFit="1" customWidth="1"/>
    <col min="6" max="7" width="11.33203125" customWidth="1"/>
    <col min="8" max="8" width="14.33203125" bestFit="1" customWidth="1"/>
    <col min="9" max="10" width="11.33203125" customWidth="1"/>
    <col min="11" max="11" width="14.83203125" bestFit="1" customWidth="1"/>
    <col min="12" max="12" width="17.5" customWidth="1"/>
    <col min="13" max="13" width="29.1640625" bestFit="1" customWidth="1"/>
  </cols>
  <sheetData>
    <row r="1" spans="1:13" x14ac:dyDescent="0.2">
      <c r="A1" t="s">
        <v>216</v>
      </c>
      <c r="B1" t="s">
        <v>206</v>
      </c>
      <c r="C1" t="s">
        <v>207</v>
      </c>
      <c r="D1" t="s">
        <v>209</v>
      </c>
      <c r="E1" t="s">
        <v>208</v>
      </c>
      <c r="F1" t="s">
        <v>210</v>
      </c>
      <c r="G1" t="s">
        <v>211</v>
      </c>
      <c r="H1" t="s">
        <v>212</v>
      </c>
      <c r="I1" t="s">
        <v>213</v>
      </c>
      <c r="J1" t="s">
        <v>217</v>
      </c>
      <c r="K1" t="s">
        <v>214</v>
      </c>
      <c r="L1" t="s">
        <v>215</v>
      </c>
      <c r="M1" t="s">
        <v>218</v>
      </c>
    </row>
    <row r="2" spans="1:13" hidden="1" x14ac:dyDescent="0.2">
      <c r="A2">
        <v>1</v>
      </c>
      <c r="C2" t="s">
        <v>50</v>
      </c>
      <c r="G2">
        <v>2</v>
      </c>
      <c r="H2" t="s">
        <v>290</v>
      </c>
      <c r="I2" t="s">
        <v>25</v>
      </c>
      <c r="J2" t="s">
        <v>64</v>
      </c>
      <c r="K2" t="s">
        <v>65</v>
      </c>
      <c r="L2" t="s">
        <v>202</v>
      </c>
      <c r="M2" t="s">
        <v>16</v>
      </c>
    </row>
    <row r="3" spans="1:13" hidden="1" x14ac:dyDescent="0.2">
      <c r="A3">
        <v>1</v>
      </c>
      <c r="C3" t="s">
        <v>50</v>
      </c>
      <c r="G3">
        <v>3</v>
      </c>
      <c r="H3" t="s">
        <v>283</v>
      </c>
      <c r="I3" t="s">
        <v>30</v>
      </c>
      <c r="J3" t="s">
        <v>66</v>
      </c>
      <c r="K3" t="s">
        <v>67</v>
      </c>
      <c r="L3" t="s">
        <v>202</v>
      </c>
    </row>
    <row r="4" spans="1:13" hidden="1" x14ac:dyDescent="0.2">
      <c r="A4">
        <v>1</v>
      </c>
      <c r="C4" t="s">
        <v>50</v>
      </c>
      <c r="G4">
        <v>4</v>
      </c>
      <c r="H4" t="s">
        <v>285</v>
      </c>
      <c r="I4" t="s">
        <v>25</v>
      </c>
      <c r="J4" t="s">
        <v>68</v>
      </c>
      <c r="K4" t="s">
        <v>69</v>
      </c>
      <c r="L4" t="s">
        <v>204</v>
      </c>
    </row>
    <row r="5" spans="1:13" hidden="1" x14ac:dyDescent="0.2">
      <c r="A5">
        <v>1</v>
      </c>
      <c r="C5" t="s">
        <v>50</v>
      </c>
      <c r="G5">
        <v>5</v>
      </c>
      <c r="H5" t="s">
        <v>287</v>
      </c>
      <c r="I5" t="s">
        <v>25</v>
      </c>
      <c r="J5" t="s">
        <v>68</v>
      </c>
      <c r="K5" t="s">
        <v>70</v>
      </c>
      <c r="L5" t="s">
        <v>203</v>
      </c>
    </row>
    <row r="6" spans="1:13" hidden="1" x14ac:dyDescent="0.2">
      <c r="A6">
        <v>1</v>
      </c>
      <c r="C6" t="s">
        <v>50</v>
      </c>
      <c r="G6">
        <v>6</v>
      </c>
      <c r="H6" t="s">
        <v>281</v>
      </c>
      <c r="I6" t="s">
        <v>30</v>
      </c>
      <c r="J6" t="s">
        <v>71</v>
      </c>
      <c r="K6" t="s">
        <v>72</v>
      </c>
      <c r="L6" t="s">
        <v>202</v>
      </c>
    </row>
    <row r="7" spans="1:13" hidden="1" x14ac:dyDescent="0.2">
      <c r="A7">
        <v>1</v>
      </c>
      <c r="C7" t="s">
        <v>50</v>
      </c>
      <c r="G7">
        <v>7</v>
      </c>
      <c r="H7" t="s">
        <v>282</v>
      </c>
      <c r="I7" t="s">
        <v>36</v>
      </c>
      <c r="J7" t="s">
        <v>64</v>
      </c>
      <c r="K7" t="s">
        <v>72</v>
      </c>
      <c r="L7" t="s">
        <v>202</v>
      </c>
    </row>
    <row r="8" spans="1:13" hidden="1" x14ac:dyDescent="0.2">
      <c r="A8">
        <v>1</v>
      </c>
      <c r="C8" t="s">
        <v>50</v>
      </c>
      <c r="G8">
        <v>7</v>
      </c>
      <c r="H8" t="s">
        <v>285</v>
      </c>
      <c r="I8" t="s">
        <v>34</v>
      </c>
      <c r="J8" t="s">
        <v>66</v>
      </c>
      <c r="K8" t="s">
        <v>73</v>
      </c>
      <c r="L8" t="s">
        <v>203</v>
      </c>
    </row>
    <row r="9" spans="1:13" hidden="1" x14ac:dyDescent="0.2">
      <c r="A9">
        <v>1</v>
      </c>
      <c r="C9" t="s">
        <v>50</v>
      </c>
      <c r="G9">
        <v>9</v>
      </c>
      <c r="H9" t="s">
        <v>282</v>
      </c>
      <c r="I9" t="s">
        <v>27</v>
      </c>
      <c r="J9" t="s">
        <v>66</v>
      </c>
      <c r="K9" t="s">
        <v>73</v>
      </c>
      <c r="L9" t="s">
        <v>203</v>
      </c>
    </row>
    <row r="10" spans="1:13" hidden="1" x14ac:dyDescent="0.2">
      <c r="A10">
        <v>1</v>
      </c>
      <c r="C10" t="s">
        <v>50</v>
      </c>
      <c r="G10">
        <v>10</v>
      </c>
      <c r="H10" t="s">
        <v>290</v>
      </c>
      <c r="I10" t="s">
        <v>27</v>
      </c>
      <c r="J10" t="s">
        <v>71</v>
      </c>
      <c r="K10" t="s">
        <v>74</v>
      </c>
      <c r="L10" t="s">
        <v>203</v>
      </c>
    </row>
    <row r="11" spans="1:13" hidden="1" x14ac:dyDescent="0.2">
      <c r="A11">
        <v>1</v>
      </c>
      <c r="C11" t="s">
        <v>50</v>
      </c>
      <c r="G11">
        <v>11</v>
      </c>
      <c r="H11" t="s">
        <v>285</v>
      </c>
      <c r="I11" t="s">
        <v>27</v>
      </c>
      <c r="J11" t="s">
        <v>71</v>
      </c>
      <c r="K11" t="s">
        <v>69</v>
      </c>
      <c r="L11" t="s">
        <v>204</v>
      </c>
    </row>
    <row r="12" spans="1:13" hidden="1" x14ac:dyDescent="0.2">
      <c r="A12">
        <v>1</v>
      </c>
      <c r="C12" t="s">
        <v>50</v>
      </c>
      <c r="G12">
        <v>12</v>
      </c>
      <c r="H12" t="s">
        <v>283</v>
      </c>
      <c r="I12" t="s">
        <v>32</v>
      </c>
      <c r="J12" t="s">
        <v>64</v>
      </c>
      <c r="K12" t="s">
        <v>67</v>
      </c>
      <c r="L12" t="s">
        <v>202</v>
      </c>
    </row>
    <row r="13" spans="1:13" hidden="1" x14ac:dyDescent="0.2">
      <c r="A13">
        <v>1</v>
      </c>
      <c r="C13" t="s">
        <v>50</v>
      </c>
      <c r="G13">
        <v>13</v>
      </c>
      <c r="H13" t="s">
        <v>285</v>
      </c>
      <c r="I13" t="s">
        <v>12</v>
      </c>
      <c r="J13" t="s">
        <v>71</v>
      </c>
      <c r="K13" t="s">
        <v>69</v>
      </c>
      <c r="L13" t="s">
        <v>204</v>
      </c>
    </row>
    <row r="14" spans="1:13" hidden="1" x14ac:dyDescent="0.2">
      <c r="A14">
        <v>1</v>
      </c>
      <c r="C14" t="s">
        <v>50</v>
      </c>
      <c r="G14">
        <v>14</v>
      </c>
      <c r="H14" t="s">
        <v>283</v>
      </c>
      <c r="I14" t="s">
        <v>30</v>
      </c>
      <c r="J14" t="s">
        <v>71</v>
      </c>
      <c r="K14" t="s">
        <v>70</v>
      </c>
      <c r="L14" t="s">
        <v>203</v>
      </c>
    </row>
    <row r="15" spans="1:13" hidden="1" x14ac:dyDescent="0.2">
      <c r="A15">
        <v>1</v>
      </c>
      <c r="C15" t="s">
        <v>50</v>
      </c>
      <c r="G15">
        <v>15</v>
      </c>
      <c r="H15" t="s">
        <v>280</v>
      </c>
      <c r="I15" t="s">
        <v>6</v>
      </c>
      <c r="J15" t="s">
        <v>66</v>
      </c>
      <c r="K15" t="s">
        <v>73</v>
      </c>
      <c r="L15" t="s">
        <v>203</v>
      </c>
    </row>
    <row r="16" spans="1:13" hidden="1" x14ac:dyDescent="0.2">
      <c r="A16">
        <v>1</v>
      </c>
      <c r="C16" t="s">
        <v>50</v>
      </c>
      <c r="G16">
        <v>16</v>
      </c>
      <c r="H16" t="s">
        <v>289</v>
      </c>
      <c r="I16" t="s">
        <v>12</v>
      </c>
      <c r="J16" t="s">
        <v>71</v>
      </c>
      <c r="K16" t="s">
        <v>75</v>
      </c>
      <c r="L16" t="s">
        <v>204</v>
      </c>
    </row>
    <row r="17" spans="1:12" hidden="1" x14ac:dyDescent="0.2">
      <c r="A17">
        <v>1</v>
      </c>
      <c r="C17" t="s">
        <v>50</v>
      </c>
      <c r="G17">
        <v>16</v>
      </c>
      <c r="H17" t="s">
        <v>292</v>
      </c>
      <c r="I17" t="s">
        <v>30</v>
      </c>
      <c r="J17" t="s">
        <v>71</v>
      </c>
      <c r="K17" t="s">
        <v>73</v>
      </c>
      <c r="L17" t="s">
        <v>203</v>
      </c>
    </row>
    <row r="18" spans="1:12" hidden="1" x14ac:dyDescent="0.2">
      <c r="A18">
        <v>1</v>
      </c>
      <c r="C18" t="s">
        <v>50</v>
      </c>
      <c r="G18">
        <v>17</v>
      </c>
      <c r="H18" t="s">
        <v>281</v>
      </c>
      <c r="I18" t="s">
        <v>30</v>
      </c>
      <c r="J18" t="s">
        <v>71</v>
      </c>
      <c r="K18" t="s">
        <v>73</v>
      </c>
      <c r="L18" t="s">
        <v>203</v>
      </c>
    </row>
    <row r="19" spans="1:12" hidden="1" x14ac:dyDescent="0.2">
      <c r="A19">
        <v>1</v>
      </c>
      <c r="C19" t="s">
        <v>50</v>
      </c>
      <c r="G19">
        <v>18</v>
      </c>
      <c r="H19" t="s">
        <v>282</v>
      </c>
      <c r="I19" t="s">
        <v>30</v>
      </c>
      <c r="J19" t="s">
        <v>71</v>
      </c>
      <c r="K19" t="s">
        <v>72</v>
      </c>
      <c r="L19" t="s">
        <v>202</v>
      </c>
    </row>
    <row r="20" spans="1:12" hidden="1" x14ac:dyDescent="0.2">
      <c r="A20">
        <v>1</v>
      </c>
      <c r="C20" t="s">
        <v>50</v>
      </c>
      <c r="G20">
        <v>19</v>
      </c>
      <c r="H20" t="s">
        <v>281</v>
      </c>
      <c r="I20" t="s">
        <v>30</v>
      </c>
      <c r="J20" t="s">
        <v>71</v>
      </c>
      <c r="K20" t="s">
        <v>75</v>
      </c>
      <c r="L20" t="s">
        <v>204</v>
      </c>
    </row>
    <row r="21" spans="1:12" hidden="1" x14ac:dyDescent="0.2">
      <c r="A21">
        <v>1</v>
      </c>
      <c r="C21" t="s">
        <v>50</v>
      </c>
      <c r="G21">
        <v>21</v>
      </c>
      <c r="H21" t="s">
        <v>295</v>
      </c>
      <c r="I21" t="s">
        <v>30</v>
      </c>
      <c r="J21" t="s">
        <v>71</v>
      </c>
      <c r="K21" t="s">
        <v>73</v>
      </c>
      <c r="L21" t="s">
        <v>203</v>
      </c>
    </row>
    <row r="22" spans="1:12" hidden="1" x14ac:dyDescent="0.2">
      <c r="A22">
        <v>1</v>
      </c>
      <c r="C22" t="s">
        <v>50</v>
      </c>
      <c r="G22">
        <v>21</v>
      </c>
      <c r="H22" t="s">
        <v>282</v>
      </c>
      <c r="I22" t="s">
        <v>30</v>
      </c>
      <c r="J22" t="s">
        <v>71</v>
      </c>
      <c r="K22" t="s">
        <v>74</v>
      </c>
      <c r="L22" t="s">
        <v>203</v>
      </c>
    </row>
    <row r="23" spans="1:12" hidden="1" x14ac:dyDescent="0.2">
      <c r="A23">
        <v>1</v>
      </c>
      <c r="C23" t="s">
        <v>50</v>
      </c>
      <c r="G23">
        <v>22</v>
      </c>
      <c r="H23" t="s">
        <v>287</v>
      </c>
      <c r="I23" t="s">
        <v>30</v>
      </c>
      <c r="J23" t="s">
        <v>71</v>
      </c>
      <c r="K23" t="s">
        <v>73</v>
      </c>
      <c r="L23" t="s">
        <v>203</v>
      </c>
    </row>
    <row r="24" spans="1:12" hidden="1" x14ac:dyDescent="0.2">
      <c r="A24">
        <v>1</v>
      </c>
      <c r="C24" t="s">
        <v>50</v>
      </c>
      <c r="G24">
        <v>23</v>
      </c>
      <c r="H24" t="s">
        <v>282</v>
      </c>
      <c r="I24" t="s">
        <v>6</v>
      </c>
      <c r="J24" t="s">
        <v>66</v>
      </c>
      <c r="K24" t="s">
        <v>73</v>
      </c>
      <c r="L24" t="s">
        <v>203</v>
      </c>
    </row>
    <row r="25" spans="1:12" hidden="1" x14ac:dyDescent="0.2">
      <c r="A25">
        <v>1</v>
      </c>
      <c r="C25" t="s">
        <v>50</v>
      </c>
      <c r="G25">
        <v>23</v>
      </c>
      <c r="H25" t="s">
        <v>281</v>
      </c>
      <c r="I25" t="s">
        <v>6</v>
      </c>
      <c r="J25" t="s">
        <v>66</v>
      </c>
      <c r="K25" t="s">
        <v>73</v>
      </c>
      <c r="L25" t="s">
        <v>203</v>
      </c>
    </row>
    <row r="26" spans="1:12" hidden="1" x14ac:dyDescent="0.2">
      <c r="A26">
        <v>1</v>
      </c>
      <c r="C26" t="s">
        <v>50</v>
      </c>
      <c r="G26">
        <v>24</v>
      </c>
      <c r="H26" t="s">
        <v>287</v>
      </c>
      <c r="I26" t="s">
        <v>6</v>
      </c>
      <c r="J26" t="s">
        <v>66</v>
      </c>
      <c r="K26" t="s">
        <v>73</v>
      </c>
      <c r="L26" t="s">
        <v>203</v>
      </c>
    </row>
    <row r="27" spans="1:12" hidden="1" x14ac:dyDescent="0.2">
      <c r="A27">
        <v>1</v>
      </c>
      <c r="C27" t="s">
        <v>50</v>
      </c>
      <c r="G27">
        <v>24</v>
      </c>
      <c r="H27" t="s">
        <v>282</v>
      </c>
      <c r="I27" t="s">
        <v>12</v>
      </c>
      <c r="J27" t="s">
        <v>71</v>
      </c>
      <c r="K27" t="s">
        <v>74</v>
      </c>
      <c r="L27" t="s">
        <v>203</v>
      </c>
    </row>
    <row r="28" spans="1:12" hidden="1" x14ac:dyDescent="0.2">
      <c r="A28">
        <v>1</v>
      </c>
      <c r="C28" t="s">
        <v>50</v>
      </c>
      <c r="G28">
        <v>24</v>
      </c>
      <c r="H28" t="s">
        <v>282</v>
      </c>
      <c r="I28" t="s">
        <v>36</v>
      </c>
      <c r="J28" t="s">
        <v>68</v>
      </c>
      <c r="K28" t="s">
        <v>73</v>
      </c>
      <c r="L28" t="s">
        <v>203</v>
      </c>
    </row>
    <row r="29" spans="1:12" hidden="1" x14ac:dyDescent="0.2">
      <c r="A29">
        <v>1</v>
      </c>
      <c r="C29" t="s">
        <v>50</v>
      </c>
      <c r="G29">
        <v>25</v>
      </c>
      <c r="H29" t="s">
        <v>281</v>
      </c>
      <c r="I29" t="s">
        <v>38</v>
      </c>
      <c r="J29" t="s">
        <v>66</v>
      </c>
      <c r="K29" t="s">
        <v>72</v>
      </c>
      <c r="L29" t="s">
        <v>202</v>
      </c>
    </row>
    <row r="30" spans="1:12" hidden="1" x14ac:dyDescent="0.2">
      <c r="A30">
        <v>1</v>
      </c>
      <c r="C30" t="s">
        <v>50</v>
      </c>
      <c r="G30">
        <v>25</v>
      </c>
      <c r="H30" t="s">
        <v>283</v>
      </c>
      <c r="I30" t="s">
        <v>27</v>
      </c>
      <c r="J30" t="s">
        <v>71</v>
      </c>
      <c r="K30" t="s">
        <v>67</v>
      </c>
      <c r="L30" t="s">
        <v>202</v>
      </c>
    </row>
    <row r="31" spans="1:12" hidden="1" x14ac:dyDescent="0.2">
      <c r="A31">
        <v>1</v>
      </c>
      <c r="C31" t="s">
        <v>50</v>
      </c>
      <c r="G31">
        <v>28</v>
      </c>
      <c r="H31" t="s">
        <v>290</v>
      </c>
      <c r="I31" t="s">
        <v>27</v>
      </c>
      <c r="J31" t="s">
        <v>71</v>
      </c>
      <c r="K31" t="s">
        <v>74</v>
      </c>
      <c r="L31" t="s">
        <v>203</v>
      </c>
    </row>
    <row r="32" spans="1:12" hidden="1" x14ac:dyDescent="0.2">
      <c r="A32">
        <v>1</v>
      </c>
      <c r="C32" t="s">
        <v>50</v>
      </c>
      <c r="G32">
        <v>28</v>
      </c>
      <c r="H32" t="s">
        <v>282</v>
      </c>
      <c r="I32" t="s">
        <v>76</v>
      </c>
      <c r="J32" t="s">
        <v>66</v>
      </c>
      <c r="K32" t="s">
        <v>73</v>
      </c>
      <c r="L32" t="s">
        <v>203</v>
      </c>
    </row>
    <row r="33" spans="1:13" hidden="1" x14ac:dyDescent="0.2">
      <c r="A33">
        <v>1</v>
      </c>
      <c r="C33" t="s">
        <v>50</v>
      </c>
      <c r="G33">
        <v>28</v>
      </c>
      <c r="H33" t="s">
        <v>290</v>
      </c>
      <c r="I33" t="s">
        <v>36</v>
      </c>
      <c r="J33" t="s">
        <v>68</v>
      </c>
      <c r="K33" t="s">
        <v>73</v>
      </c>
      <c r="L33" t="s">
        <v>203</v>
      </c>
      <c r="M33" t="s">
        <v>16</v>
      </c>
    </row>
    <row r="34" spans="1:13" hidden="1" x14ac:dyDescent="0.2">
      <c r="A34">
        <v>1</v>
      </c>
      <c r="C34" t="s">
        <v>50</v>
      </c>
      <c r="G34">
        <v>28</v>
      </c>
      <c r="H34" t="s">
        <v>283</v>
      </c>
      <c r="I34" t="s">
        <v>36</v>
      </c>
      <c r="J34" t="s">
        <v>68</v>
      </c>
      <c r="K34" t="s">
        <v>73</v>
      </c>
      <c r="L34" t="s">
        <v>203</v>
      </c>
      <c r="M34" t="s">
        <v>16</v>
      </c>
    </row>
    <row r="35" spans="1:13" hidden="1" x14ac:dyDescent="0.2">
      <c r="A35">
        <v>1</v>
      </c>
      <c r="C35" t="s">
        <v>50</v>
      </c>
      <c r="G35">
        <v>29</v>
      </c>
      <c r="H35" t="s">
        <v>295</v>
      </c>
      <c r="I35" t="s">
        <v>30</v>
      </c>
      <c r="J35" t="s">
        <v>71</v>
      </c>
      <c r="K35" t="s">
        <v>73</v>
      </c>
      <c r="L35" t="s">
        <v>203</v>
      </c>
    </row>
    <row r="36" spans="1:13" hidden="1" x14ac:dyDescent="0.2">
      <c r="A36">
        <v>1</v>
      </c>
      <c r="C36" t="s">
        <v>50</v>
      </c>
      <c r="G36">
        <v>26</v>
      </c>
      <c r="H36" t="s">
        <v>282</v>
      </c>
      <c r="I36" t="s">
        <v>27</v>
      </c>
      <c r="J36" t="s">
        <v>68</v>
      </c>
      <c r="K36" t="s">
        <v>73</v>
      </c>
      <c r="L36" t="s">
        <v>203</v>
      </c>
    </row>
    <row r="37" spans="1:13" hidden="1" x14ac:dyDescent="0.2">
      <c r="A37">
        <v>1</v>
      </c>
      <c r="C37" t="s">
        <v>50</v>
      </c>
      <c r="G37">
        <v>31</v>
      </c>
      <c r="H37" t="s">
        <v>282</v>
      </c>
      <c r="I37" t="s">
        <v>27</v>
      </c>
      <c r="J37" t="s">
        <v>71</v>
      </c>
      <c r="K37" t="s">
        <v>77</v>
      </c>
      <c r="L37" t="s">
        <v>204</v>
      </c>
    </row>
    <row r="38" spans="1:13" hidden="1" x14ac:dyDescent="0.2">
      <c r="A38">
        <v>1</v>
      </c>
      <c r="C38" t="s">
        <v>50</v>
      </c>
      <c r="G38">
        <v>32</v>
      </c>
      <c r="H38" t="s">
        <v>283</v>
      </c>
      <c r="I38" t="s">
        <v>6</v>
      </c>
      <c r="J38" t="s">
        <v>66</v>
      </c>
      <c r="K38" t="s">
        <v>73</v>
      </c>
      <c r="L38" t="s">
        <v>203</v>
      </c>
    </row>
    <row r="39" spans="1:13" hidden="1" x14ac:dyDescent="0.2">
      <c r="A39">
        <v>1</v>
      </c>
      <c r="C39" t="s">
        <v>50</v>
      </c>
      <c r="G39">
        <v>51</v>
      </c>
      <c r="H39" t="s">
        <v>282</v>
      </c>
      <c r="I39" t="s">
        <v>6</v>
      </c>
      <c r="J39" t="s">
        <v>66</v>
      </c>
      <c r="K39" t="s">
        <v>73</v>
      </c>
      <c r="L39" t="s">
        <v>203</v>
      </c>
    </row>
    <row r="40" spans="1:13" hidden="1" x14ac:dyDescent="0.2">
      <c r="A40">
        <v>1</v>
      </c>
      <c r="C40" t="s">
        <v>50</v>
      </c>
      <c r="G40">
        <v>52</v>
      </c>
      <c r="H40" t="s">
        <v>295</v>
      </c>
      <c r="I40" t="s">
        <v>6</v>
      </c>
      <c r="J40" t="s">
        <v>64</v>
      </c>
      <c r="K40" t="s">
        <v>73</v>
      </c>
      <c r="L40" t="s">
        <v>203</v>
      </c>
    </row>
    <row r="41" spans="1:13" hidden="1" x14ac:dyDescent="0.2">
      <c r="A41">
        <v>1</v>
      </c>
      <c r="C41" t="s">
        <v>50</v>
      </c>
      <c r="G41">
        <v>32</v>
      </c>
      <c r="H41" t="s">
        <v>292</v>
      </c>
      <c r="I41" t="s">
        <v>30</v>
      </c>
      <c r="J41" t="s">
        <v>71</v>
      </c>
      <c r="K41" t="s">
        <v>73</v>
      </c>
      <c r="L41" t="s">
        <v>203</v>
      </c>
    </row>
    <row r="42" spans="1:13" hidden="1" x14ac:dyDescent="0.2">
      <c r="A42">
        <v>1</v>
      </c>
      <c r="C42" t="s">
        <v>50</v>
      </c>
      <c r="G42">
        <v>34</v>
      </c>
      <c r="H42" t="s">
        <v>282</v>
      </c>
      <c r="I42" t="s">
        <v>6</v>
      </c>
      <c r="J42" t="s">
        <v>66</v>
      </c>
      <c r="K42" t="s">
        <v>73</v>
      </c>
      <c r="L42" t="s">
        <v>203</v>
      </c>
    </row>
    <row r="43" spans="1:13" hidden="1" x14ac:dyDescent="0.2">
      <c r="A43">
        <v>1</v>
      </c>
      <c r="C43" t="s">
        <v>50</v>
      </c>
      <c r="G43">
        <v>34</v>
      </c>
      <c r="H43" t="s">
        <v>295</v>
      </c>
      <c r="I43" t="s">
        <v>6</v>
      </c>
      <c r="J43" t="s">
        <v>64</v>
      </c>
      <c r="K43" t="s">
        <v>73</v>
      </c>
      <c r="L43" t="s">
        <v>203</v>
      </c>
    </row>
    <row r="44" spans="1:13" hidden="1" x14ac:dyDescent="0.2">
      <c r="A44">
        <v>1</v>
      </c>
      <c r="C44" t="s">
        <v>50</v>
      </c>
      <c r="G44">
        <v>34</v>
      </c>
      <c r="H44" t="s">
        <v>292</v>
      </c>
      <c r="I44" t="s">
        <v>25</v>
      </c>
      <c r="J44" t="s">
        <v>71</v>
      </c>
      <c r="K44" t="s">
        <v>73</v>
      </c>
      <c r="L44" t="s">
        <v>203</v>
      </c>
    </row>
    <row r="45" spans="1:13" hidden="1" x14ac:dyDescent="0.2">
      <c r="A45">
        <v>1</v>
      </c>
      <c r="C45" t="s">
        <v>50</v>
      </c>
      <c r="G45">
        <v>34</v>
      </c>
      <c r="H45" t="s">
        <v>285</v>
      </c>
      <c r="I45" t="s">
        <v>25</v>
      </c>
      <c r="J45" t="s">
        <v>68</v>
      </c>
      <c r="K45" t="s">
        <v>73</v>
      </c>
      <c r="L45" t="s">
        <v>203</v>
      </c>
    </row>
    <row r="46" spans="1:13" hidden="1" x14ac:dyDescent="0.2">
      <c r="A46">
        <v>1</v>
      </c>
      <c r="C46" t="s">
        <v>50</v>
      </c>
      <c r="G46">
        <v>34</v>
      </c>
      <c r="H46" t="s">
        <v>279</v>
      </c>
      <c r="I46" t="s">
        <v>25</v>
      </c>
      <c r="J46" t="s">
        <v>68</v>
      </c>
      <c r="K46" t="s">
        <v>73</v>
      </c>
      <c r="L46" t="s">
        <v>203</v>
      </c>
    </row>
    <row r="47" spans="1:13" hidden="1" x14ac:dyDescent="0.2">
      <c r="A47">
        <v>1</v>
      </c>
      <c r="C47" t="s">
        <v>50</v>
      </c>
      <c r="G47">
        <v>36</v>
      </c>
      <c r="H47" t="s">
        <v>281</v>
      </c>
      <c r="I47" t="s">
        <v>30</v>
      </c>
      <c r="J47" t="s">
        <v>66</v>
      </c>
      <c r="K47" t="s">
        <v>72</v>
      </c>
      <c r="L47" t="s">
        <v>202</v>
      </c>
    </row>
    <row r="48" spans="1:13" hidden="1" x14ac:dyDescent="0.2">
      <c r="A48">
        <v>1</v>
      </c>
      <c r="C48" t="s">
        <v>50</v>
      </c>
      <c r="G48">
        <v>37</v>
      </c>
      <c r="H48" t="s">
        <v>285</v>
      </c>
      <c r="I48" t="s">
        <v>25</v>
      </c>
      <c r="J48" t="s">
        <v>68</v>
      </c>
      <c r="K48" t="s">
        <v>69</v>
      </c>
      <c r="L48" t="s">
        <v>204</v>
      </c>
    </row>
    <row r="49" spans="1:13" hidden="1" x14ac:dyDescent="0.2">
      <c r="A49">
        <v>1</v>
      </c>
      <c r="C49" t="s">
        <v>50</v>
      </c>
      <c r="G49">
        <v>37</v>
      </c>
      <c r="H49" t="s">
        <v>292</v>
      </c>
      <c r="I49" t="s">
        <v>27</v>
      </c>
      <c r="J49" t="s">
        <v>71</v>
      </c>
      <c r="K49" t="s">
        <v>69</v>
      </c>
      <c r="L49" t="s">
        <v>204</v>
      </c>
    </row>
    <row r="50" spans="1:13" hidden="1" x14ac:dyDescent="0.2">
      <c r="A50">
        <v>1</v>
      </c>
      <c r="C50" t="s">
        <v>50</v>
      </c>
      <c r="G50">
        <v>38</v>
      </c>
      <c r="H50" t="s">
        <v>292</v>
      </c>
      <c r="I50" t="s">
        <v>12</v>
      </c>
      <c r="J50" t="s">
        <v>66</v>
      </c>
      <c r="K50" t="s">
        <v>73</v>
      </c>
      <c r="L50" t="s">
        <v>203</v>
      </c>
    </row>
    <row r="51" spans="1:13" hidden="1" x14ac:dyDescent="0.2">
      <c r="A51">
        <v>1</v>
      </c>
      <c r="C51" t="s">
        <v>50</v>
      </c>
      <c r="G51">
        <v>38</v>
      </c>
      <c r="H51" t="s">
        <v>281</v>
      </c>
      <c r="I51" t="s">
        <v>6</v>
      </c>
      <c r="J51" t="s">
        <v>66</v>
      </c>
      <c r="K51" t="s">
        <v>72</v>
      </c>
      <c r="L51" t="s">
        <v>202</v>
      </c>
    </row>
    <row r="52" spans="1:13" hidden="1" x14ac:dyDescent="0.2">
      <c r="A52">
        <v>1</v>
      </c>
      <c r="C52" t="s">
        <v>50</v>
      </c>
      <c r="G52">
        <v>39</v>
      </c>
      <c r="H52" t="s">
        <v>279</v>
      </c>
      <c r="I52" t="s">
        <v>6</v>
      </c>
      <c r="J52" t="s">
        <v>66</v>
      </c>
      <c r="K52" t="s">
        <v>73</v>
      </c>
      <c r="L52" t="s">
        <v>203</v>
      </c>
    </row>
    <row r="53" spans="1:13" hidden="1" x14ac:dyDescent="0.2">
      <c r="A53">
        <v>1</v>
      </c>
      <c r="C53" t="s">
        <v>50</v>
      </c>
      <c r="G53">
        <v>39</v>
      </c>
      <c r="H53" t="s">
        <v>294</v>
      </c>
      <c r="I53" t="s">
        <v>21</v>
      </c>
      <c r="J53" t="s">
        <v>64</v>
      </c>
      <c r="K53" t="s">
        <v>75</v>
      </c>
      <c r="L53" t="s">
        <v>204</v>
      </c>
    </row>
    <row r="54" spans="1:13" hidden="1" x14ac:dyDescent="0.2">
      <c r="A54">
        <v>1</v>
      </c>
      <c r="C54" t="s">
        <v>50</v>
      </c>
      <c r="G54">
        <v>40</v>
      </c>
      <c r="H54" t="s">
        <v>287</v>
      </c>
      <c r="I54" t="s">
        <v>6</v>
      </c>
      <c r="J54" t="s">
        <v>66</v>
      </c>
      <c r="K54" t="s">
        <v>73</v>
      </c>
      <c r="L54" t="s">
        <v>203</v>
      </c>
    </row>
    <row r="55" spans="1:13" hidden="1" x14ac:dyDescent="0.2">
      <c r="A55">
        <v>1</v>
      </c>
      <c r="C55" t="s">
        <v>50</v>
      </c>
      <c r="G55">
        <v>41</v>
      </c>
      <c r="H55" t="s">
        <v>287</v>
      </c>
      <c r="I55" t="s">
        <v>6</v>
      </c>
      <c r="J55" t="s">
        <v>66</v>
      </c>
      <c r="K55" t="s">
        <v>73</v>
      </c>
      <c r="L55" t="s">
        <v>203</v>
      </c>
    </row>
    <row r="56" spans="1:13" hidden="1" x14ac:dyDescent="0.2">
      <c r="A56">
        <v>1</v>
      </c>
      <c r="C56" t="s">
        <v>50</v>
      </c>
      <c r="G56">
        <v>41</v>
      </c>
      <c r="H56" t="s">
        <v>295</v>
      </c>
      <c r="I56" t="s">
        <v>25</v>
      </c>
      <c r="J56" t="s">
        <v>64</v>
      </c>
      <c r="K56" t="s">
        <v>74</v>
      </c>
      <c r="L56" t="s">
        <v>203</v>
      </c>
    </row>
    <row r="57" spans="1:13" hidden="1" x14ac:dyDescent="0.2">
      <c r="A57">
        <v>1</v>
      </c>
      <c r="C57" t="s">
        <v>50</v>
      </c>
      <c r="G57">
        <v>40</v>
      </c>
      <c r="H57" t="s">
        <v>282</v>
      </c>
      <c r="I57" t="s">
        <v>6</v>
      </c>
      <c r="J57" t="s">
        <v>66</v>
      </c>
      <c r="K57" t="s">
        <v>73</v>
      </c>
      <c r="L57" t="s">
        <v>203</v>
      </c>
    </row>
    <row r="58" spans="1:13" hidden="1" x14ac:dyDescent="0.2">
      <c r="A58">
        <v>1</v>
      </c>
      <c r="C58" t="s">
        <v>50</v>
      </c>
      <c r="G58">
        <v>42</v>
      </c>
      <c r="H58" t="s">
        <v>279</v>
      </c>
      <c r="I58" t="s">
        <v>40</v>
      </c>
      <c r="J58" t="s">
        <v>66</v>
      </c>
      <c r="K58" t="s">
        <v>73</v>
      </c>
      <c r="L58" t="s">
        <v>203</v>
      </c>
    </row>
    <row r="59" spans="1:13" hidden="1" x14ac:dyDescent="0.2">
      <c r="A59">
        <v>1</v>
      </c>
      <c r="C59" t="s">
        <v>50</v>
      </c>
      <c r="G59">
        <v>43</v>
      </c>
      <c r="H59" t="s">
        <v>285</v>
      </c>
      <c r="I59" t="s">
        <v>27</v>
      </c>
      <c r="J59" t="s">
        <v>71</v>
      </c>
      <c r="K59" t="s">
        <v>73</v>
      </c>
      <c r="L59" t="s">
        <v>203</v>
      </c>
    </row>
    <row r="60" spans="1:13" hidden="1" x14ac:dyDescent="0.2">
      <c r="A60">
        <v>1</v>
      </c>
      <c r="C60" t="s">
        <v>50</v>
      </c>
      <c r="G60">
        <v>43</v>
      </c>
      <c r="H60" t="s">
        <v>287</v>
      </c>
      <c r="I60" t="s">
        <v>9</v>
      </c>
      <c r="J60" t="s">
        <v>66</v>
      </c>
      <c r="K60" t="s">
        <v>78</v>
      </c>
      <c r="L60" t="s">
        <v>204</v>
      </c>
    </row>
    <row r="61" spans="1:13" hidden="1" x14ac:dyDescent="0.2">
      <c r="A61">
        <v>1</v>
      </c>
      <c r="C61" t="s">
        <v>50</v>
      </c>
      <c r="G61">
        <v>43</v>
      </c>
      <c r="H61" t="s">
        <v>285</v>
      </c>
      <c r="I61" t="s">
        <v>16</v>
      </c>
      <c r="J61" t="s">
        <v>66</v>
      </c>
      <c r="K61" t="s">
        <v>69</v>
      </c>
      <c r="L61" t="s">
        <v>204</v>
      </c>
      <c r="M61" t="s">
        <v>16</v>
      </c>
    </row>
    <row r="62" spans="1:13" hidden="1" x14ac:dyDescent="0.2">
      <c r="A62">
        <v>1</v>
      </c>
      <c r="C62" t="s">
        <v>50</v>
      </c>
      <c r="G62">
        <v>44</v>
      </c>
      <c r="H62" t="s">
        <v>283</v>
      </c>
      <c r="I62" t="s">
        <v>30</v>
      </c>
      <c r="J62" t="s">
        <v>71</v>
      </c>
      <c r="K62" t="s">
        <v>73</v>
      </c>
      <c r="L62" t="s">
        <v>203</v>
      </c>
    </row>
    <row r="63" spans="1:13" hidden="1" x14ac:dyDescent="0.2">
      <c r="A63">
        <v>1</v>
      </c>
      <c r="C63" t="s">
        <v>50</v>
      </c>
      <c r="G63">
        <v>41</v>
      </c>
      <c r="H63" t="s">
        <v>295</v>
      </c>
      <c r="I63" t="s">
        <v>76</v>
      </c>
      <c r="J63" t="s">
        <v>64</v>
      </c>
      <c r="K63" t="s">
        <v>74</v>
      </c>
      <c r="L63" t="s">
        <v>203</v>
      </c>
    </row>
    <row r="64" spans="1:13" hidden="1" x14ac:dyDescent="0.2">
      <c r="A64">
        <v>1</v>
      </c>
      <c r="C64" t="s">
        <v>50</v>
      </c>
      <c r="G64">
        <v>45</v>
      </c>
      <c r="H64" t="s">
        <v>281</v>
      </c>
      <c r="I64" t="s">
        <v>27</v>
      </c>
      <c r="J64" t="s">
        <v>71</v>
      </c>
      <c r="K64" t="s">
        <v>73</v>
      </c>
      <c r="L64" t="s">
        <v>203</v>
      </c>
    </row>
    <row r="65" spans="1:12" hidden="1" x14ac:dyDescent="0.2">
      <c r="A65">
        <v>1</v>
      </c>
      <c r="C65" t="s">
        <v>50</v>
      </c>
      <c r="G65">
        <v>46</v>
      </c>
      <c r="H65" t="s">
        <v>282</v>
      </c>
      <c r="I65" t="s">
        <v>6</v>
      </c>
      <c r="J65" t="s">
        <v>66</v>
      </c>
      <c r="K65" t="s">
        <v>74</v>
      </c>
      <c r="L65" t="s">
        <v>203</v>
      </c>
    </row>
    <row r="66" spans="1:12" hidden="1" x14ac:dyDescent="0.2">
      <c r="A66">
        <v>1</v>
      </c>
      <c r="C66" t="s">
        <v>50</v>
      </c>
      <c r="G66">
        <v>46</v>
      </c>
      <c r="H66" t="s">
        <v>282</v>
      </c>
      <c r="I66" t="s">
        <v>30</v>
      </c>
      <c r="J66" t="s">
        <v>71</v>
      </c>
      <c r="K66" t="s">
        <v>75</v>
      </c>
      <c r="L66" t="s">
        <v>204</v>
      </c>
    </row>
    <row r="67" spans="1:12" hidden="1" x14ac:dyDescent="0.2">
      <c r="A67">
        <v>1</v>
      </c>
      <c r="C67" t="s">
        <v>50</v>
      </c>
      <c r="G67">
        <v>46</v>
      </c>
      <c r="H67" t="s">
        <v>292</v>
      </c>
      <c r="I67" t="s">
        <v>27</v>
      </c>
      <c r="J67" t="s">
        <v>71</v>
      </c>
      <c r="K67" t="s">
        <v>75</v>
      </c>
      <c r="L67" t="s">
        <v>204</v>
      </c>
    </row>
    <row r="68" spans="1:12" hidden="1" x14ac:dyDescent="0.2">
      <c r="A68">
        <v>1</v>
      </c>
      <c r="C68" t="s">
        <v>50</v>
      </c>
      <c r="G68">
        <v>47</v>
      </c>
      <c r="H68" t="s">
        <v>279</v>
      </c>
      <c r="I68" t="s">
        <v>27</v>
      </c>
      <c r="J68" t="s">
        <v>68</v>
      </c>
      <c r="K68" t="s">
        <v>75</v>
      </c>
      <c r="L68" t="s">
        <v>204</v>
      </c>
    </row>
    <row r="69" spans="1:12" hidden="1" x14ac:dyDescent="0.2">
      <c r="A69">
        <v>1</v>
      </c>
      <c r="C69" t="s">
        <v>50</v>
      </c>
      <c r="G69">
        <v>48</v>
      </c>
      <c r="H69" t="s">
        <v>283</v>
      </c>
      <c r="I69" t="s">
        <v>30</v>
      </c>
      <c r="J69" t="s">
        <v>71</v>
      </c>
      <c r="K69" t="s">
        <v>75</v>
      </c>
      <c r="L69" t="s">
        <v>204</v>
      </c>
    </row>
    <row r="70" spans="1:12" hidden="1" x14ac:dyDescent="0.2">
      <c r="A70">
        <v>1</v>
      </c>
      <c r="C70" t="s">
        <v>50</v>
      </c>
      <c r="G70">
        <v>48</v>
      </c>
      <c r="H70" t="s">
        <v>283</v>
      </c>
      <c r="I70" t="s">
        <v>9</v>
      </c>
      <c r="J70" t="s">
        <v>66</v>
      </c>
      <c r="K70" t="s">
        <v>75</v>
      </c>
      <c r="L70" t="s">
        <v>204</v>
      </c>
    </row>
    <row r="71" spans="1:12" hidden="1" x14ac:dyDescent="0.2">
      <c r="A71">
        <v>1</v>
      </c>
      <c r="C71" t="s">
        <v>50</v>
      </c>
      <c r="G71">
        <v>48</v>
      </c>
      <c r="H71" t="s">
        <v>295</v>
      </c>
      <c r="I71" t="s">
        <v>25</v>
      </c>
      <c r="J71" t="s">
        <v>68</v>
      </c>
      <c r="K71" t="s">
        <v>65</v>
      </c>
      <c r="L71" t="s">
        <v>202</v>
      </c>
    </row>
    <row r="72" spans="1:12" hidden="1" x14ac:dyDescent="0.2">
      <c r="A72">
        <v>1</v>
      </c>
      <c r="C72" t="s">
        <v>50</v>
      </c>
      <c r="G72">
        <v>49</v>
      </c>
      <c r="H72" t="s">
        <v>287</v>
      </c>
      <c r="I72" t="s">
        <v>12</v>
      </c>
      <c r="J72" t="s">
        <v>64</v>
      </c>
      <c r="K72" t="s">
        <v>72</v>
      </c>
      <c r="L72" t="s">
        <v>202</v>
      </c>
    </row>
    <row r="73" spans="1:12" hidden="1" x14ac:dyDescent="0.2">
      <c r="A73">
        <v>1</v>
      </c>
      <c r="C73" t="s">
        <v>50</v>
      </c>
      <c r="G73">
        <v>85</v>
      </c>
      <c r="H73" t="s">
        <v>293</v>
      </c>
      <c r="I73" t="s">
        <v>25</v>
      </c>
      <c r="J73" t="s">
        <v>71</v>
      </c>
      <c r="K73" t="s">
        <v>67</v>
      </c>
      <c r="L73" t="s">
        <v>202</v>
      </c>
    </row>
    <row r="74" spans="1:12" hidden="1" x14ac:dyDescent="0.2">
      <c r="A74">
        <v>1</v>
      </c>
      <c r="C74" t="s">
        <v>50</v>
      </c>
      <c r="G74">
        <v>51</v>
      </c>
      <c r="H74" t="s">
        <v>279</v>
      </c>
      <c r="I74" t="s">
        <v>6</v>
      </c>
      <c r="J74" t="s">
        <v>66</v>
      </c>
      <c r="K74" t="s">
        <v>74</v>
      </c>
      <c r="L74" t="s">
        <v>203</v>
      </c>
    </row>
    <row r="75" spans="1:12" hidden="1" x14ac:dyDescent="0.2">
      <c r="A75">
        <v>1</v>
      </c>
      <c r="C75" t="s">
        <v>50</v>
      </c>
      <c r="G75">
        <v>87</v>
      </c>
      <c r="H75" t="s">
        <v>293</v>
      </c>
      <c r="I75" t="s">
        <v>25</v>
      </c>
      <c r="J75" t="s">
        <v>68</v>
      </c>
      <c r="K75" t="s">
        <v>74</v>
      </c>
      <c r="L75" t="s">
        <v>203</v>
      </c>
    </row>
    <row r="76" spans="1:12" hidden="1" x14ac:dyDescent="0.2">
      <c r="A76">
        <v>1</v>
      </c>
      <c r="C76" t="s">
        <v>50</v>
      </c>
      <c r="G76">
        <v>52</v>
      </c>
      <c r="H76" t="s">
        <v>281</v>
      </c>
      <c r="I76" t="s">
        <v>30</v>
      </c>
      <c r="J76" t="s">
        <v>71</v>
      </c>
      <c r="K76" t="s">
        <v>72</v>
      </c>
      <c r="L76" t="s">
        <v>202</v>
      </c>
    </row>
    <row r="77" spans="1:12" hidden="1" x14ac:dyDescent="0.2">
      <c r="A77">
        <v>1</v>
      </c>
      <c r="C77" t="s">
        <v>50</v>
      </c>
      <c r="G77">
        <v>53</v>
      </c>
      <c r="H77" t="s">
        <v>281</v>
      </c>
      <c r="I77" t="s">
        <v>30</v>
      </c>
      <c r="J77" t="s">
        <v>71</v>
      </c>
      <c r="K77" t="s">
        <v>79</v>
      </c>
      <c r="L77" t="s">
        <v>203</v>
      </c>
    </row>
    <row r="78" spans="1:12" hidden="1" x14ac:dyDescent="0.2">
      <c r="A78">
        <v>1</v>
      </c>
      <c r="C78" t="s">
        <v>50</v>
      </c>
      <c r="G78">
        <v>90</v>
      </c>
      <c r="H78" t="s">
        <v>290</v>
      </c>
      <c r="I78" t="s">
        <v>6</v>
      </c>
      <c r="J78" t="s">
        <v>68</v>
      </c>
      <c r="K78" t="s">
        <v>74</v>
      </c>
      <c r="L78" t="s">
        <v>203</v>
      </c>
    </row>
    <row r="79" spans="1:12" hidden="1" x14ac:dyDescent="0.2">
      <c r="A79">
        <v>1</v>
      </c>
      <c r="C79" t="s">
        <v>50</v>
      </c>
      <c r="G79">
        <v>91</v>
      </c>
      <c r="H79" t="s">
        <v>279</v>
      </c>
      <c r="I79" t="s">
        <v>25</v>
      </c>
      <c r="J79" t="s">
        <v>68</v>
      </c>
      <c r="K79" t="s">
        <v>75</v>
      </c>
      <c r="L79" t="s">
        <v>204</v>
      </c>
    </row>
    <row r="80" spans="1:12" hidden="1" x14ac:dyDescent="0.2">
      <c r="A80">
        <v>1</v>
      </c>
      <c r="C80" t="s">
        <v>50</v>
      </c>
      <c r="G80">
        <v>92</v>
      </c>
      <c r="H80" t="s">
        <v>285</v>
      </c>
      <c r="I80" t="s">
        <v>25</v>
      </c>
      <c r="J80" t="s">
        <v>71</v>
      </c>
      <c r="K80" t="s">
        <v>75</v>
      </c>
      <c r="L80" t="s">
        <v>204</v>
      </c>
    </row>
    <row r="81" spans="1:12" hidden="1" x14ac:dyDescent="0.2">
      <c r="A81">
        <v>1</v>
      </c>
      <c r="C81" t="s">
        <v>50</v>
      </c>
      <c r="G81">
        <v>56</v>
      </c>
      <c r="H81" t="s">
        <v>287</v>
      </c>
      <c r="I81" t="s">
        <v>25</v>
      </c>
      <c r="J81" t="s">
        <v>71</v>
      </c>
      <c r="K81" t="s">
        <v>75</v>
      </c>
      <c r="L81" t="s">
        <v>204</v>
      </c>
    </row>
    <row r="82" spans="1:12" hidden="1" x14ac:dyDescent="0.2">
      <c r="A82">
        <v>1</v>
      </c>
      <c r="C82" t="s">
        <v>50</v>
      </c>
      <c r="G82">
        <v>56</v>
      </c>
      <c r="H82" t="s">
        <v>279</v>
      </c>
      <c r="I82" t="s">
        <v>12</v>
      </c>
      <c r="J82" t="s">
        <v>71</v>
      </c>
      <c r="K82" t="s">
        <v>75</v>
      </c>
      <c r="L82" t="s">
        <v>204</v>
      </c>
    </row>
    <row r="83" spans="1:12" hidden="1" x14ac:dyDescent="0.2">
      <c r="A83">
        <v>1</v>
      </c>
      <c r="C83" t="s">
        <v>50</v>
      </c>
      <c r="G83">
        <v>56</v>
      </c>
      <c r="H83" t="s">
        <v>287</v>
      </c>
      <c r="I83" t="s">
        <v>6</v>
      </c>
      <c r="J83" t="s">
        <v>71</v>
      </c>
      <c r="K83" t="s">
        <v>75</v>
      </c>
      <c r="L83" t="s">
        <v>204</v>
      </c>
    </row>
    <row r="84" spans="1:12" hidden="1" x14ac:dyDescent="0.2">
      <c r="A84">
        <v>1</v>
      </c>
      <c r="C84" t="s">
        <v>50</v>
      </c>
      <c r="G84">
        <v>57</v>
      </c>
      <c r="H84" t="s">
        <v>281</v>
      </c>
      <c r="I84" t="s">
        <v>27</v>
      </c>
      <c r="J84" t="s">
        <v>71</v>
      </c>
      <c r="K84" t="s">
        <v>75</v>
      </c>
      <c r="L84" t="s">
        <v>204</v>
      </c>
    </row>
    <row r="85" spans="1:12" hidden="1" x14ac:dyDescent="0.2">
      <c r="A85">
        <v>1</v>
      </c>
      <c r="C85" t="s">
        <v>50</v>
      </c>
      <c r="G85">
        <v>58</v>
      </c>
      <c r="H85" t="s">
        <v>296</v>
      </c>
      <c r="I85" t="s">
        <v>25</v>
      </c>
      <c r="J85" t="s">
        <v>71</v>
      </c>
      <c r="K85" t="s">
        <v>75</v>
      </c>
      <c r="L85" t="s">
        <v>204</v>
      </c>
    </row>
    <row r="86" spans="1:12" hidden="1" x14ac:dyDescent="0.2">
      <c r="A86">
        <v>1</v>
      </c>
      <c r="C86" t="s">
        <v>50</v>
      </c>
      <c r="G86">
        <v>59</v>
      </c>
      <c r="H86" t="s">
        <v>287</v>
      </c>
      <c r="I86" t="s">
        <v>9</v>
      </c>
      <c r="J86" t="s">
        <v>66</v>
      </c>
      <c r="K86" t="s">
        <v>69</v>
      </c>
      <c r="L86" t="s">
        <v>204</v>
      </c>
    </row>
    <row r="87" spans="1:12" hidden="1" x14ac:dyDescent="0.2">
      <c r="A87">
        <v>1</v>
      </c>
      <c r="C87" t="s">
        <v>50</v>
      </c>
      <c r="G87">
        <v>59</v>
      </c>
      <c r="H87" t="s">
        <v>285</v>
      </c>
      <c r="I87" t="s">
        <v>9</v>
      </c>
      <c r="J87" t="s">
        <v>66</v>
      </c>
      <c r="K87" t="s">
        <v>69</v>
      </c>
      <c r="L87" t="s">
        <v>204</v>
      </c>
    </row>
    <row r="88" spans="1:12" hidden="1" x14ac:dyDescent="0.2">
      <c r="A88">
        <v>1</v>
      </c>
      <c r="C88" t="s">
        <v>50</v>
      </c>
      <c r="G88">
        <v>59</v>
      </c>
      <c r="H88" t="s">
        <v>287</v>
      </c>
      <c r="I88" t="s">
        <v>14</v>
      </c>
      <c r="J88" t="s">
        <v>64</v>
      </c>
      <c r="K88" t="s">
        <v>69</v>
      </c>
      <c r="L88" t="s">
        <v>204</v>
      </c>
    </row>
    <row r="89" spans="1:12" hidden="1" x14ac:dyDescent="0.2">
      <c r="A89">
        <v>1</v>
      </c>
      <c r="C89" t="s">
        <v>50</v>
      </c>
      <c r="G89">
        <v>59</v>
      </c>
      <c r="H89" t="s">
        <v>279</v>
      </c>
      <c r="I89" t="s">
        <v>9</v>
      </c>
      <c r="J89" t="s">
        <v>64</v>
      </c>
      <c r="K89" t="s">
        <v>69</v>
      </c>
      <c r="L89" t="s">
        <v>204</v>
      </c>
    </row>
    <row r="90" spans="1:12" hidden="1" x14ac:dyDescent="0.2">
      <c r="A90">
        <v>1</v>
      </c>
      <c r="C90" t="s">
        <v>50</v>
      </c>
      <c r="G90">
        <v>61</v>
      </c>
      <c r="H90" t="s">
        <v>283</v>
      </c>
      <c r="I90" t="s">
        <v>25</v>
      </c>
      <c r="J90" t="s">
        <v>64</v>
      </c>
      <c r="K90" t="s">
        <v>67</v>
      </c>
      <c r="L90" t="s">
        <v>202</v>
      </c>
    </row>
    <row r="91" spans="1:12" hidden="1" x14ac:dyDescent="0.2">
      <c r="A91">
        <v>1</v>
      </c>
      <c r="C91" t="s">
        <v>50</v>
      </c>
      <c r="G91">
        <v>63</v>
      </c>
      <c r="H91" t="s">
        <v>290</v>
      </c>
      <c r="I91" t="s">
        <v>76</v>
      </c>
      <c r="J91" t="s">
        <v>71</v>
      </c>
      <c r="K91" t="s">
        <v>65</v>
      </c>
      <c r="L91" t="s">
        <v>202</v>
      </c>
    </row>
    <row r="92" spans="1:12" hidden="1" x14ac:dyDescent="0.2">
      <c r="A92">
        <v>1</v>
      </c>
      <c r="C92" t="s">
        <v>50</v>
      </c>
      <c r="G92">
        <v>64</v>
      </c>
      <c r="H92" t="s">
        <v>283</v>
      </c>
      <c r="I92" t="s">
        <v>30</v>
      </c>
      <c r="J92" t="s">
        <v>71</v>
      </c>
      <c r="K92" t="s">
        <v>67</v>
      </c>
      <c r="L92" t="s">
        <v>202</v>
      </c>
    </row>
    <row r="93" spans="1:12" hidden="1" x14ac:dyDescent="0.2">
      <c r="A93">
        <v>1</v>
      </c>
      <c r="C93" t="s">
        <v>50</v>
      </c>
      <c r="G93">
        <v>64</v>
      </c>
      <c r="H93" t="s">
        <v>285</v>
      </c>
      <c r="I93" t="s">
        <v>25</v>
      </c>
      <c r="J93" t="s">
        <v>71</v>
      </c>
      <c r="K93" t="s">
        <v>75</v>
      </c>
      <c r="L93" t="s">
        <v>204</v>
      </c>
    </row>
    <row r="94" spans="1:12" hidden="1" x14ac:dyDescent="0.2">
      <c r="A94">
        <v>1</v>
      </c>
      <c r="C94" t="s">
        <v>50</v>
      </c>
      <c r="G94">
        <v>64</v>
      </c>
      <c r="H94" t="s">
        <v>285</v>
      </c>
      <c r="I94" t="s">
        <v>9</v>
      </c>
      <c r="J94" t="s">
        <v>66</v>
      </c>
      <c r="K94" t="s">
        <v>75</v>
      </c>
      <c r="L94" t="s">
        <v>204</v>
      </c>
    </row>
    <row r="95" spans="1:12" hidden="1" x14ac:dyDescent="0.2">
      <c r="A95">
        <v>1</v>
      </c>
      <c r="C95" t="s">
        <v>50</v>
      </c>
      <c r="G95">
        <v>65</v>
      </c>
      <c r="H95" t="s">
        <v>292</v>
      </c>
      <c r="I95" t="s">
        <v>25</v>
      </c>
      <c r="J95" t="s">
        <v>71</v>
      </c>
      <c r="K95" t="s">
        <v>74</v>
      </c>
      <c r="L95" t="s">
        <v>203</v>
      </c>
    </row>
    <row r="96" spans="1:12" hidden="1" x14ac:dyDescent="0.2">
      <c r="A96">
        <v>1</v>
      </c>
      <c r="C96" t="s">
        <v>50</v>
      </c>
      <c r="G96">
        <v>66</v>
      </c>
      <c r="H96" t="s">
        <v>279</v>
      </c>
      <c r="I96" t="s">
        <v>27</v>
      </c>
      <c r="J96" t="s">
        <v>68</v>
      </c>
      <c r="K96" t="s">
        <v>69</v>
      </c>
      <c r="L96" t="s">
        <v>204</v>
      </c>
    </row>
    <row r="97" spans="1:12" hidden="1" x14ac:dyDescent="0.2">
      <c r="A97">
        <v>1</v>
      </c>
      <c r="C97" t="s">
        <v>50</v>
      </c>
      <c r="G97">
        <v>67</v>
      </c>
      <c r="H97" t="s">
        <v>293</v>
      </c>
      <c r="I97" t="s">
        <v>25</v>
      </c>
      <c r="J97" t="s">
        <v>71</v>
      </c>
      <c r="K97" t="s">
        <v>69</v>
      </c>
      <c r="L97" t="s">
        <v>204</v>
      </c>
    </row>
    <row r="98" spans="1:12" hidden="1" x14ac:dyDescent="0.2">
      <c r="A98">
        <v>1</v>
      </c>
      <c r="C98" t="s">
        <v>50</v>
      </c>
      <c r="G98">
        <v>67</v>
      </c>
      <c r="H98" t="s">
        <v>296</v>
      </c>
      <c r="I98" t="s">
        <v>25</v>
      </c>
      <c r="J98" t="s">
        <v>71</v>
      </c>
      <c r="K98" t="s">
        <v>75</v>
      </c>
      <c r="L98" t="s">
        <v>204</v>
      </c>
    </row>
    <row r="99" spans="1:12" hidden="1" x14ac:dyDescent="0.2">
      <c r="A99">
        <v>1</v>
      </c>
      <c r="C99" t="s">
        <v>50</v>
      </c>
      <c r="G99">
        <v>67</v>
      </c>
      <c r="H99" t="s">
        <v>279</v>
      </c>
      <c r="I99" t="s">
        <v>25</v>
      </c>
      <c r="J99" t="s">
        <v>68</v>
      </c>
      <c r="K99" t="s">
        <v>69</v>
      </c>
      <c r="L99" t="s">
        <v>204</v>
      </c>
    </row>
    <row r="100" spans="1:12" hidden="1" x14ac:dyDescent="0.2">
      <c r="A100">
        <v>1</v>
      </c>
      <c r="C100" t="s">
        <v>50</v>
      </c>
      <c r="G100">
        <v>67</v>
      </c>
      <c r="H100" t="s">
        <v>281</v>
      </c>
      <c r="I100" t="s">
        <v>27</v>
      </c>
      <c r="J100" t="s">
        <v>71</v>
      </c>
      <c r="K100" t="s">
        <v>75</v>
      </c>
      <c r="L100" t="s">
        <v>204</v>
      </c>
    </row>
    <row r="101" spans="1:12" hidden="1" x14ac:dyDescent="0.2">
      <c r="A101">
        <v>1</v>
      </c>
      <c r="C101" t="s">
        <v>50</v>
      </c>
      <c r="G101">
        <v>68</v>
      </c>
      <c r="H101" t="s">
        <v>279</v>
      </c>
      <c r="I101" t="s">
        <v>12</v>
      </c>
      <c r="J101" t="s">
        <v>71</v>
      </c>
      <c r="K101" t="s">
        <v>69</v>
      </c>
      <c r="L101" t="s">
        <v>204</v>
      </c>
    </row>
    <row r="102" spans="1:12" hidden="1" x14ac:dyDescent="0.2">
      <c r="A102">
        <v>1</v>
      </c>
      <c r="C102" t="s">
        <v>50</v>
      </c>
      <c r="G102">
        <v>68</v>
      </c>
      <c r="H102" t="s">
        <v>279</v>
      </c>
      <c r="I102" t="s">
        <v>14</v>
      </c>
      <c r="J102" t="s">
        <v>64</v>
      </c>
      <c r="K102" t="s">
        <v>69</v>
      </c>
      <c r="L102" t="s">
        <v>204</v>
      </c>
    </row>
    <row r="103" spans="1:12" hidden="1" x14ac:dyDescent="0.2">
      <c r="A103">
        <v>1</v>
      </c>
      <c r="C103" t="s">
        <v>50</v>
      </c>
      <c r="G103">
        <v>68</v>
      </c>
      <c r="H103" t="s">
        <v>279</v>
      </c>
      <c r="I103" t="s">
        <v>25</v>
      </c>
      <c r="J103" t="s">
        <v>71</v>
      </c>
      <c r="K103" t="s">
        <v>75</v>
      </c>
      <c r="L103" t="s">
        <v>204</v>
      </c>
    </row>
    <row r="104" spans="1:12" hidden="1" x14ac:dyDescent="0.2">
      <c r="A104">
        <v>1</v>
      </c>
      <c r="C104" t="s">
        <v>50</v>
      </c>
      <c r="G104">
        <v>69</v>
      </c>
      <c r="H104" t="s">
        <v>292</v>
      </c>
      <c r="I104" t="s">
        <v>25</v>
      </c>
      <c r="J104" t="s">
        <v>71</v>
      </c>
      <c r="K104" t="s">
        <v>74</v>
      </c>
      <c r="L104" t="s">
        <v>203</v>
      </c>
    </row>
    <row r="105" spans="1:12" hidden="1" x14ac:dyDescent="0.2">
      <c r="A105">
        <v>1</v>
      </c>
      <c r="C105" t="s">
        <v>50</v>
      </c>
      <c r="G105">
        <v>70</v>
      </c>
      <c r="H105" t="s">
        <v>293</v>
      </c>
      <c r="I105" t="s">
        <v>34</v>
      </c>
      <c r="J105" t="s">
        <v>66</v>
      </c>
      <c r="K105" t="s">
        <v>70</v>
      </c>
      <c r="L105" t="s">
        <v>203</v>
      </c>
    </row>
    <row r="106" spans="1:12" hidden="1" x14ac:dyDescent="0.2">
      <c r="A106">
        <v>1</v>
      </c>
      <c r="C106" t="s">
        <v>50</v>
      </c>
      <c r="G106">
        <v>71</v>
      </c>
      <c r="H106" t="s">
        <v>293</v>
      </c>
      <c r="I106" t="s">
        <v>6</v>
      </c>
      <c r="J106" t="s">
        <v>64</v>
      </c>
      <c r="K106" t="s">
        <v>75</v>
      </c>
      <c r="L106" t="s">
        <v>204</v>
      </c>
    </row>
    <row r="107" spans="1:12" hidden="1" x14ac:dyDescent="0.2">
      <c r="A107">
        <v>1</v>
      </c>
      <c r="C107" t="s">
        <v>50</v>
      </c>
      <c r="G107">
        <v>74</v>
      </c>
      <c r="H107" t="s">
        <v>280</v>
      </c>
      <c r="I107" t="s">
        <v>6</v>
      </c>
      <c r="J107" t="s">
        <v>71</v>
      </c>
      <c r="K107" t="s">
        <v>75</v>
      </c>
      <c r="L107" t="s">
        <v>204</v>
      </c>
    </row>
    <row r="108" spans="1:12" hidden="1" x14ac:dyDescent="0.2">
      <c r="A108">
        <v>1</v>
      </c>
      <c r="C108" t="s">
        <v>50</v>
      </c>
      <c r="G108">
        <v>74</v>
      </c>
      <c r="H108" t="s">
        <v>287</v>
      </c>
      <c r="I108" t="s">
        <v>6</v>
      </c>
      <c r="J108" t="s">
        <v>64</v>
      </c>
      <c r="K108" t="s">
        <v>75</v>
      </c>
      <c r="L108" t="s">
        <v>204</v>
      </c>
    </row>
    <row r="109" spans="1:12" hidden="1" x14ac:dyDescent="0.2">
      <c r="A109">
        <v>1</v>
      </c>
      <c r="C109" t="s">
        <v>50</v>
      </c>
      <c r="G109">
        <v>75</v>
      </c>
      <c r="H109" t="s">
        <v>292</v>
      </c>
      <c r="I109" t="s">
        <v>27</v>
      </c>
      <c r="J109" t="s">
        <v>71</v>
      </c>
      <c r="K109" t="s">
        <v>73</v>
      </c>
      <c r="L109" t="s">
        <v>203</v>
      </c>
    </row>
    <row r="110" spans="1:12" hidden="1" x14ac:dyDescent="0.2">
      <c r="A110">
        <v>1</v>
      </c>
      <c r="C110" t="s">
        <v>50</v>
      </c>
      <c r="G110">
        <v>76</v>
      </c>
      <c r="H110" t="s">
        <v>290</v>
      </c>
      <c r="I110" t="s">
        <v>38</v>
      </c>
      <c r="J110" t="s">
        <v>66</v>
      </c>
      <c r="K110" t="s">
        <v>73</v>
      </c>
      <c r="L110" t="s">
        <v>203</v>
      </c>
    </row>
    <row r="111" spans="1:12" hidden="1" x14ac:dyDescent="0.2">
      <c r="A111">
        <v>1</v>
      </c>
      <c r="C111" t="s">
        <v>50</v>
      </c>
      <c r="G111">
        <v>77</v>
      </c>
      <c r="H111" t="s">
        <v>292</v>
      </c>
      <c r="I111" t="s">
        <v>76</v>
      </c>
      <c r="J111" t="s">
        <v>66</v>
      </c>
      <c r="K111" t="s">
        <v>75</v>
      </c>
      <c r="L111" t="s">
        <v>204</v>
      </c>
    </row>
    <row r="112" spans="1:12" hidden="1" x14ac:dyDescent="0.2">
      <c r="A112">
        <v>1</v>
      </c>
      <c r="C112" t="s">
        <v>50</v>
      </c>
      <c r="G112">
        <v>78</v>
      </c>
      <c r="H112" t="s">
        <v>281</v>
      </c>
      <c r="I112" t="s">
        <v>25</v>
      </c>
      <c r="J112" t="s">
        <v>64</v>
      </c>
      <c r="K112" t="s">
        <v>75</v>
      </c>
      <c r="L112" t="s">
        <v>204</v>
      </c>
    </row>
    <row r="113" spans="1:12" hidden="1" x14ac:dyDescent="0.2">
      <c r="A113">
        <v>1</v>
      </c>
      <c r="C113" t="s">
        <v>50</v>
      </c>
      <c r="G113">
        <v>79</v>
      </c>
      <c r="H113" t="s">
        <v>290</v>
      </c>
      <c r="I113" t="s">
        <v>25</v>
      </c>
      <c r="J113" t="s">
        <v>71</v>
      </c>
      <c r="K113" t="s">
        <v>72</v>
      </c>
      <c r="L113" t="s">
        <v>202</v>
      </c>
    </row>
    <row r="114" spans="1:12" hidden="1" x14ac:dyDescent="0.2">
      <c r="A114">
        <v>1</v>
      </c>
      <c r="C114" t="s">
        <v>50</v>
      </c>
      <c r="G114">
        <v>79</v>
      </c>
      <c r="H114" t="s">
        <v>293</v>
      </c>
      <c r="I114" t="s">
        <v>34</v>
      </c>
      <c r="J114" t="s">
        <v>71</v>
      </c>
      <c r="K114" t="s">
        <v>75</v>
      </c>
      <c r="L114" t="s">
        <v>204</v>
      </c>
    </row>
    <row r="115" spans="1:12" hidden="1" x14ac:dyDescent="0.2">
      <c r="A115">
        <v>1</v>
      </c>
      <c r="C115" t="s">
        <v>50</v>
      </c>
      <c r="G115">
        <v>81</v>
      </c>
      <c r="H115" t="s">
        <v>293</v>
      </c>
      <c r="I115" t="s">
        <v>30</v>
      </c>
      <c r="J115" t="s">
        <v>71</v>
      </c>
      <c r="K115" t="s">
        <v>67</v>
      </c>
      <c r="L115" t="s">
        <v>202</v>
      </c>
    </row>
    <row r="116" spans="1:12" hidden="1" x14ac:dyDescent="0.2">
      <c r="A116">
        <v>1</v>
      </c>
      <c r="C116" t="s">
        <v>50</v>
      </c>
      <c r="G116">
        <v>82</v>
      </c>
      <c r="H116" t="s">
        <v>291</v>
      </c>
      <c r="I116" t="s">
        <v>25</v>
      </c>
      <c r="J116" t="s">
        <v>71</v>
      </c>
      <c r="K116" t="s">
        <v>75</v>
      </c>
      <c r="L116" t="s">
        <v>204</v>
      </c>
    </row>
    <row r="117" spans="1:12" hidden="1" x14ac:dyDescent="0.2">
      <c r="A117">
        <v>1</v>
      </c>
      <c r="C117" t="s">
        <v>50</v>
      </c>
      <c r="G117">
        <v>82</v>
      </c>
      <c r="H117" t="s">
        <v>291</v>
      </c>
      <c r="I117" t="s">
        <v>12</v>
      </c>
      <c r="J117" t="s">
        <v>71</v>
      </c>
      <c r="K117" t="s">
        <v>75</v>
      </c>
      <c r="L117" t="s">
        <v>204</v>
      </c>
    </row>
    <row r="118" spans="1:12" hidden="1" x14ac:dyDescent="0.2">
      <c r="A118">
        <v>1</v>
      </c>
      <c r="C118" t="s">
        <v>50</v>
      </c>
      <c r="G118">
        <v>83</v>
      </c>
      <c r="H118" t="s">
        <v>287</v>
      </c>
      <c r="I118" t="s">
        <v>30</v>
      </c>
      <c r="J118" t="s">
        <v>71</v>
      </c>
      <c r="K118" t="s">
        <v>75</v>
      </c>
      <c r="L118" t="s">
        <v>204</v>
      </c>
    </row>
    <row r="119" spans="1:12" hidden="1" x14ac:dyDescent="0.2">
      <c r="A119">
        <v>1</v>
      </c>
      <c r="C119" t="s">
        <v>50</v>
      </c>
      <c r="G119">
        <v>85</v>
      </c>
      <c r="H119" t="s">
        <v>279</v>
      </c>
      <c r="I119" t="s">
        <v>25</v>
      </c>
      <c r="J119" t="s">
        <v>71</v>
      </c>
      <c r="K119" t="s">
        <v>74</v>
      </c>
      <c r="L119" t="s">
        <v>203</v>
      </c>
    </row>
    <row r="120" spans="1:12" hidden="1" x14ac:dyDescent="0.2">
      <c r="A120">
        <v>1</v>
      </c>
      <c r="C120" t="s">
        <v>50</v>
      </c>
      <c r="G120">
        <v>87</v>
      </c>
      <c r="H120" t="s">
        <v>289</v>
      </c>
      <c r="I120" t="s">
        <v>27</v>
      </c>
      <c r="J120" t="s">
        <v>68</v>
      </c>
      <c r="K120" t="s">
        <v>74</v>
      </c>
      <c r="L120" t="s">
        <v>203</v>
      </c>
    </row>
    <row r="121" spans="1:12" hidden="1" x14ac:dyDescent="0.2">
      <c r="A121">
        <v>1</v>
      </c>
      <c r="C121" t="s">
        <v>50</v>
      </c>
      <c r="G121">
        <v>88</v>
      </c>
      <c r="H121" t="s">
        <v>292</v>
      </c>
      <c r="I121" t="s">
        <v>30</v>
      </c>
      <c r="J121" t="s">
        <v>71</v>
      </c>
      <c r="K121" t="s">
        <v>74</v>
      </c>
      <c r="L121" t="s">
        <v>203</v>
      </c>
    </row>
    <row r="122" spans="1:12" hidden="1" x14ac:dyDescent="0.2">
      <c r="A122">
        <v>1</v>
      </c>
      <c r="C122" t="s">
        <v>50</v>
      </c>
      <c r="G122">
        <v>88</v>
      </c>
      <c r="H122" t="s">
        <v>292</v>
      </c>
      <c r="I122" t="s">
        <v>30</v>
      </c>
      <c r="J122" t="s">
        <v>71</v>
      </c>
      <c r="K122" t="s">
        <v>74</v>
      </c>
      <c r="L122" t="s">
        <v>203</v>
      </c>
    </row>
    <row r="123" spans="1:12" hidden="1" x14ac:dyDescent="0.2">
      <c r="A123">
        <v>1</v>
      </c>
      <c r="C123" t="s">
        <v>50</v>
      </c>
      <c r="G123">
        <v>89</v>
      </c>
      <c r="H123" t="s">
        <v>295</v>
      </c>
      <c r="I123" t="s">
        <v>30</v>
      </c>
      <c r="J123" t="s">
        <v>71</v>
      </c>
      <c r="K123" t="s">
        <v>74</v>
      </c>
      <c r="L123" t="s">
        <v>203</v>
      </c>
    </row>
    <row r="124" spans="1:12" hidden="1" x14ac:dyDescent="0.2">
      <c r="A124">
        <v>1</v>
      </c>
      <c r="C124" t="s">
        <v>50</v>
      </c>
      <c r="G124">
        <v>90</v>
      </c>
      <c r="H124" t="s">
        <v>292</v>
      </c>
      <c r="I124" t="s">
        <v>9</v>
      </c>
      <c r="J124" t="s">
        <v>64</v>
      </c>
      <c r="K124" t="s">
        <v>75</v>
      </c>
      <c r="L124" t="s">
        <v>204</v>
      </c>
    </row>
    <row r="125" spans="1:12" hidden="1" x14ac:dyDescent="0.2">
      <c r="A125">
        <v>1</v>
      </c>
      <c r="C125" t="s">
        <v>50</v>
      </c>
      <c r="G125">
        <v>91</v>
      </c>
      <c r="H125" t="s">
        <v>279</v>
      </c>
      <c r="I125" t="s">
        <v>25</v>
      </c>
      <c r="J125" t="s">
        <v>68</v>
      </c>
      <c r="K125" t="s">
        <v>75</v>
      </c>
      <c r="L125" t="s">
        <v>204</v>
      </c>
    </row>
    <row r="126" spans="1:12" hidden="1" x14ac:dyDescent="0.2">
      <c r="A126">
        <v>1</v>
      </c>
      <c r="C126" t="s">
        <v>50</v>
      </c>
      <c r="G126">
        <v>92</v>
      </c>
      <c r="H126" t="s">
        <v>296</v>
      </c>
      <c r="I126" t="s">
        <v>6</v>
      </c>
      <c r="J126" t="s">
        <v>71</v>
      </c>
      <c r="K126" t="s">
        <v>75</v>
      </c>
      <c r="L126" t="s">
        <v>204</v>
      </c>
    </row>
    <row r="127" spans="1:12" hidden="1" x14ac:dyDescent="0.2">
      <c r="A127">
        <v>1</v>
      </c>
      <c r="C127" t="s">
        <v>50</v>
      </c>
      <c r="G127">
        <v>93</v>
      </c>
      <c r="H127" t="s">
        <v>291</v>
      </c>
      <c r="I127" t="s">
        <v>40</v>
      </c>
      <c r="J127" t="s">
        <v>71</v>
      </c>
      <c r="K127" t="s">
        <v>75</v>
      </c>
      <c r="L127" t="s">
        <v>204</v>
      </c>
    </row>
    <row r="128" spans="1:12" hidden="1" x14ac:dyDescent="0.2">
      <c r="A128">
        <v>1</v>
      </c>
      <c r="C128" t="s">
        <v>50</v>
      </c>
      <c r="G128">
        <v>93</v>
      </c>
      <c r="H128" t="s">
        <v>279</v>
      </c>
      <c r="I128" t="s">
        <v>40</v>
      </c>
      <c r="J128" t="s">
        <v>71</v>
      </c>
      <c r="K128" t="s">
        <v>75</v>
      </c>
      <c r="L128" t="s">
        <v>204</v>
      </c>
    </row>
    <row r="129" spans="1:12" hidden="1" x14ac:dyDescent="0.2">
      <c r="A129">
        <v>1</v>
      </c>
      <c r="C129" t="s">
        <v>50</v>
      </c>
      <c r="G129">
        <v>94</v>
      </c>
      <c r="H129" t="s">
        <v>294</v>
      </c>
      <c r="I129" t="s">
        <v>27</v>
      </c>
      <c r="J129" t="s">
        <v>68</v>
      </c>
      <c r="K129" t="s">
        <v>69</v>
      </c>
      <c r="L129" t="s">
        <v>204</v>
      </c>
    </row>
    <row r="130" spans="1:12" hidden="1" x14ac:dyDescent="0.2">
      <c r="A130">
        <v>1</v>
      </c>
      <c r="C130" t="s">
        <v>50</v>
      </c>
      <c r="G130">
        <v>95</v>
      </c>
      <c r="H130" t="s">
        <v>280</v>
      </c>
      <c r="I130" t="s">
        <v>30</v>
      </c>
      <c r="J130" t="s">
        <v>64</v>
      </c>
      <c r="K130" t="s">
        <v>73</v>
      </c>
      <c r="L130" t="s">
        <v>203</v>
      </c>
    </row>
    <row r="131" spans="1:12" hidden="1" x14ac:dyDescent="0.2">
      <c r="A131">
        <v>1</v>
      </c>
      <c r="C131" t="s">
        <v>50</v>
      </c>
      <c r="G131">
        <v>44</v>
      </c>
      <c r="H131" t="s">
        <v>285</v>
      </c>
      <c r="I131" t="s">
        <v>14</v>
      </c>
      <c r="J131" t="s">
        <v>80</v>
      </c>
      <c r="K131" t="s">
        <v>69</v>
      </c>
      <c r="L131" t="s">
        <v>204</v>
      </c>
    </row>
    <row r="132" spans="1:12" hidden="1" x14ac:dyDescent="0.2">
      <c r="A132">
        <v>1</v>
      </c>
      <c r="C132" t="s">
        <v>50</v>
      </c>
      <c r="G132">
        <v>44</v>
      </c>
      <c r="H132" t="s">
        <v>287</v>
      </c>
      <c r="I132" t="s">
        <v>18</v>
      </c>
      <c r="J132" t="s">
        <v>66</v>
      </c>
      <c r="K132" t="s">
        <v>78</v>
      </c>
      <c r="L132" t="s">
        <v>204</v>
      </c>
    </row>
    <row r="133" spans="1:12" hidden="1" x14ac:dyDescent="0.2">
      <c r="A133">
        <v>2</v>
      </c>
      <c r="C133" t="s">
        <v>224</v>
      </c>
      <c r="D133">
        <v>10</v>
      </c>
      <c r="E133" t="s">
        <v>225</v>
      </c>
      <c r="F133" s="21">
        <v>37350</v>
      </c>
      <c r="G133">
        <v>1</v>
      </c>
      <c r="H133" t="s">
        <v>294</v>
      </c>
      <c r="I133" t="s">
        <v>6</v>
      </c>
      <c r="J133" t="s">
        <v>66</v>
      </c>
      <c r="K133" t="s">
        <v>74</v>
      </c>
      <c r="L133" t="s">
        <v>203</v>
      </c>
    </row>
    <row r="134" spans="1:12" hidden="1" x14ac:dyDescent="0.2">
      <c r="A134">
        <v>2</v>
      </c>
      <c r="C134" t="s">
        <v>224</v>
      </c>
      <c r="D134">
        <v>10</v>
      </c>
      <c r="E134" t="s">
        <v>225</v>
      </c>
      <c r="F134" s="21">
        <v>37350</v>
      </c>
      <c r="G134">
        <v>1</v>
      </c>
      <c r="H134" t="s">
        <v>285</v>
      </c>
      <c r="I134" t="s">
        <v>200</v>
      </c>
      <c r="J134" t="s">
        <v>68</v>
      </c>
      <c r="K134" t="s">
        <v>69</v>
      </c>
      <c r="L134" t="s">
        <v>204</v>
      </c>
    </row>
    <row r="135" spans="1:12" hidden="1" x14ac:dyDescent="0.2">
      <c r="A135">
        <v>2</v>
      </c>
      <c r="C135" t="s">
        <v>224</v>
      </c>
      <c r="D135">
        <v>10</v>
      </c>
      <c r="E135" t="s">
        <v>225</v>
      </c>
      <c r="F135" s="21">
        <v>37350</v>
      </c>
      <c r="G135">
        <v>1</v>
      </c>
      <c r="H135" t="s">
        <v>282</v>
      </c>
      <c r="I135" t="s">
        <v>200</v>
      </c>
      <c r="J135" t="s">
        <v>68</v>
      </c>
      <c r="K135" t="s">
        <v>74</v>
      </c>
      <c r="L135" t="s">
        <v>203</v>
      </c>
    </row>
    <row r="136" spans="1:12" hidden="1" x14ac:dyDescent="0.2">
      <c r="A136">
        <v>2</v>
      </c>
      <c r="C136" t="s">
        <v>224</v>
      </c>
      <c r="D136">
        <v>10</v>
      </c>
      <c r="E136" t="s">
        <v>225</v>
      </c>
      <c r="F136" s="21">
        <v>37350</v>
      </c>
      <c r="G136">
        <v>1</v>
      </c>
      <c r="H136" t="s">
        <v>282</v>
      </c>
      <c r="I136" t="s">
        <v>38</v>
      </c>
      <c r="K136" t="s">
        <v>74</v>
      </c>
      <c r="L136" t="s">
        <v>203</v>
      </c>
    </row>
    <row r="137" spans="1:12" hidden="1" x14ac:dyDescent="0.2">
      <c r="A137">
        <v>2</v>
      </c>
      <c r="C137" t="s">
        <v>224</v>
      </c>
      <c r="D137">
        <v>10</v>
      </c>
      <c r="E137" t="s">
        <v>225</v>
      </c>
      <c r="F137" s="21">
        <v>37350</v>
      </c>
      <c r="G137">
        <v>2</v>
      </c>
      <c r="H137" t="s">
        <v>285</v>
      </c>
      <c r="I137" t="s">
        <v>200</v>
      </c>
      <c r="J137" t="s">
        <v>68</v>
      </c>
      <c r="K137" t="s">
        <v>75</v>
      </c>
      <c r="L137" t="s">
        <v>204</v>
      </c>
    </row>
    <row r="138" spans="1:12" hidden="1" x14ac:dyDescent="0.2">
      <c r="A138">
        <v>2</v>
      </c>
      <c r="C138" t="s">
        <v>224</v>
      </c>
      <c r="D138">
        <v>10</v>
      </c>
      <c r="E138" t="s">
        <v>225</v>
      </c>
      <c r="F138" s="21">
        <v>37350</v>
      </c>
      <c r="G138">
        <v>2</v>
      </c>
      <c r="H138" t="s">
        <v>285</v>
      </c>
      <c r="I138" t="s">
        <v>200</v>
      </c>
      <c r="J138" t="s">
        <v>68</v>
      </c>
      <c r="K138" t="s">
        <v>75</v>
      </c>
      <c r="L138" t="s">
        <v>204</v>
      </c>
    </row>
    <row r="139" spans="1:12" hidden="1" x14ac:dyDescent="0.2">
      <c r="A139">
        <v>2</v>
      </c>
      <c r="C139" t="s">
        <v>224</v>
      </c>
      <c r="D139">
        <v>10</v>
      </c>
      <c r="E139" t="s">
        <v>225</v>
      </c>
      <c r="F139" s="21">
        <v>37350</v>
      </c>
      <c r="H139" t="s">
        <v>294</v>
      </c>
      <c r="I139" t="s">
        <v>200</v>
      </c>
      <c r="J139" t="s">
        <v>71</v>
      </c>
      <c r="L139" t="s">
        <v>204</v>
      </c>
    </row>
    <row r="140" spans="1:12" hidden="1" x14ac:dyDescent="0.2">
      <c r="A140">
        <v>2</v>
      </c>
      <c r="C140" t="s">
        <v>224</v>
      </c>
      <c r="D140">
        <v>10</v>
      </c>
      <c r="E140" t="s">
        <v>225</v>
      </c>
      <c r="F140" s="21">
        <v>37350</v>
      </c>
      <c r="H140" t="s">
        <v>287</v>
      </c>
      <c r="I140" t="s">
        <v>199</v>
      </c>
      <c r="J140" t="s">
        <v>68</v>
      </c>
      <c r="K140" t="s">
        <v>75</v>
      </c>
      <c r="L140" t="s">
        <v>204</v>
      </c>
    </row>
    <row r="141" spans="1:12" hidden="1" x14ac:dyDescent="0.2">
      <c r="A141">
        <v>2</v>
      </c>
      <c r="C141" t="s">
        <v>224</v>
      </c>
      <c r="D141">
        <v>10</v>
      </c>
      <c r="E141" t="s">
        <v>225</v>
      </c>
      <c r="F141" s="21">
        <v>37350</v>
      </c>
      <c r="G141">
        <v>2</v>
      </c>
      <c r="H141" t="s">
        <v>282</v>
      </c>
      <c r="I141" t="s">
        <v>205</v>
      </c>
      <c r="J141" t="s">
        <v>66</v>
      </c>
      <c r="K141" t="s">
        <v>73</v>
      </c>
      <c r="L141" t="s">
        <v>203</v>
      </c>
    </row>
    <row r="142" spans="1:12" hidden="1" x14ac:dyDescent="0.2">
      <c r="A142">
        <v>2</v>
      </c>
      <c r="C142" t="s">
        <v>224</v>
      </c>
      <c r="D142">
        <v>10</v>
      </c>
      <c r="E142" t="s">
        <v>225</v>
      </c>
      <c r="F142" s="21">
        <v>37350</v>
      </c>
      <c r="G142">
        <v>3</v>
      </c>
      <c r="H142" t="s">
        <v>285</v>
      </c>
      <c r="I142" t="s">
        <v>6</v>
      </c>
      <c r="J142" t="s">
        <v>66</v>
      </c>
      <c r="K142" t="s">
        <v>75</v>
      </c>
      <c r="L142" t="s">
        <v>204</v>
      </c>
    </row>
    <row r="143" spans="1:12" hidden="1" x14ac:dyDescent="0.2">
      <c r="A143">
        <v>2</v>
      </c>
      <c r="C143" t="s">
        <v>224</v>
      </c>
      <c r="D143">
        <v>10</v>
      </c>
      <c r="E143" t="s">
        <v>225</v>
      </c>
      <c r="F143" s="21">
        <v>37350</v>
      </c>
      <c r="G143">
        <v>4</v>
      </c>
      <c r="H143" t="s">
        <v>281</v>
      </c>
      <c r="I143" t="s">
        <v>40</v>
      </c>
      <c r="K143" t="s">
        <v>72</v>
      </c>
      <c r="L143" t="s">
        <v>202</v>
      </c>
    </row>
    <row r="144" spans="1:12" hidden="1" x14ac:dyDescent="0.2">
      <c r="A144">
        <v>2</v>
      </c>
      <c r="C144" t="s">
        <v>224</v>
      </c>
      <c r="D144">
        <v>10</v>
      </c>
      <c r="E144" t="s">
        <v>225</v>
      </c>
      <c r="F144" s="21">
        <v>37350</v>
      </c>
      <c r="G144">
        <v>5</v>
      </c>
      <c r="H144" t="s">
        <v>290</v>
      </c>
      <c r="I144" t="s">
        <v>14</v>
      </c>
      <c r="J144" t="s">
        <v>66</v>
      </c>
      <c r="K144" t="s">
        <v>78</v>
      </c>
      <c r="L144" t="s">
        <v>204</v>
      </c>
    </row>
    <row r="145" spans="1:13" hidden="1" x14ac:dyDescent="0.2">
      <c r="A145">
        <v>2</v>
      </c>
      <c r="C145" t="s">
        <v>224</v>
      </c>
      <c r="D145">
        <v>10</v>
      </c>
      <c r="E145" t="s">
        <v>225</v>
      </c>
      <c r="F145" s="21">
        <v>37350</v>
      </c>
      <c r="G145">
        <v>5</v>
      </c>
      <c r="H145" t="s">
        <v>295</v>
      </c>
      <c r="I145" t="s">
        <v>6</v>
      </c>
      <c r="J145" t="s">
        <v>66</v>
      </c>
      <c r="K145" t="s">
        <v>74</v>
      </c>
      <c r="L145" t="s">
        <v>204</v>
      </c>
    </row>
    <row r="146" spans="1:13" hidden="1" x14ac:dyDescent="0.2">
      <c r="A146">
        <v>2</v>
      </c>
      <c r="C146" t="s">
        <v>224</v>
      </c>
      <c r="D146">
        <v>10</v>
      </c>
      <c r="E146" t="s">
        <v>225</v>
      </c>
      <c r="F146" s="21">
        <v>37350</v>
      </c>
      <c r="G146">
        <v>6</v>
      </c>
      <c r="H146" t="s">
        <v>281</v>
      </c>
      <c r="I146" t="s">
        <v>199</v>
      </c>
      <c r="J146" t="s">
        <v>71</v>
      </c>
      <c r="K146" t="s">
        <v>72</v>
      </c>
      <c r="L146" t="s">
        <v>202</v>
      </c>
    </row>
    <row r="147" spans="1:13" hidden="1" x14ac:dyDescent="0.2">
      <c r="A147">
        <v>2</v>
      </c>
      <c r="C147" t="s">
        <v>224</v>
      </c>
      <c r="D147">
        <v>10</v>
      </c>
      <c r="E147" t="s">
        <v>225</v>
      </c>
      <c r="F147" s="21">
        <v>37350</v>
      </c>
      <c r="G147">
        <v>6</v>
      </c>
      <c r="H147" t="s">
        <v>294</v>
      </c>
      <c r="I147" t="s">
        <v>200</v>
      </c>
      <c r="J147" t="s">
        <v>71</v>
      </c>
      <c r="K147" t="s">
        <v>72</v>
      </c>
      <c r="L147" t="s">
        <v>202</v>
      </c>
    </row>
    <row r="148" spans="1:13" hidden="1" x14ac:dyDescent="0.2">
      <c r="A148">
        <v>2</v>
      </c>
      <c r="C148" t="s">
        <v>224</v>
      </c>
      <c r="D148">
        <v>10</v>
      </c>
      <c r="E148" t="s">
        <v>225</v>
      </c>
      <c r="F148" s="21">
        <v>37350</v>
      </c>
      <c r="G148">
        <v>8</v>
      </c>
      <c r="H148" t="s">
        <v>287</v>
      </c>
      <c r="I148" t="s">
        <v>12</v>
      </c>
      <c r="J148" t="s">
        <v>66</v>
      </c>
      <c r="K148" t="s">
        <v>79</v>
      </c>
      <c r="L148" t="s">
        <v>203</v>
      </c>
    </row>
    <row r="149" spans="1:13" hidden="1" x14ac:dyDescent="0.2">
      <c r="A149">
        <v>2</v>
      </c>
      <c r="C149" t="s">
        <v>224</v>
      </c>
      <c r="D149">
        <v>10</v>
      </c>
      <c r="E149" t="s">
        <v>225</v>
      </c>
      <c r="F149" s="21">
        <v>37350</v>
      </c>
      <c r="G149">
        <v>8</v>
      </c>
      <c r="H149" t="s">
        <v>293</v>
      </c>
      <c r="I149" t="s">
        <v>14</v>
      </c>
      <c r="J149" t="s">
        <v>66</v>
      </c>
      <c r="K149" t="s">
        <v>78</v>
      </c>
      <c r="L149" t="s">
        <v>204</v>
      </c>
    </row>
    <row r="150" spans="1:13" hidden="1" x14ac:dyDescent="0.2">
      <c r="A150">
        <v>2</v>
      </c>
      <c r="C150" t="s">
        <v>224</v>
      </c>
      <c r="D150">
        <v>10</v>
      </c>
      <c r="E150" t="s">
        <v>225</v>
      </c>
      <c r="F150" s="21">
        <v>37350</v>
      </c>
      <c r="G150">
        <v>9</v>
      </c>
      <c r="H150" t="s">
        <v>294</v>
      </c>
      <c r="I150" t="s">
        <v>200</v>
      </c>
      <c r="J150" t="s">
        <v>71</v>
      </c>
      <c r="K150" t="s">
        <v>72</v>
      </c>
      <c r="L150" t="s">
        <v>202</v>
      </c>
    </row>
    <row r="151" spans="1:13" hidden="1" x14ac:dyDescent="0.2">
      <c r="A151">
        <v>2</v>
      </c>
      <c r="C151" t="s">
        <v>224</v>
      </c>
      <c r="D151">
        <v>10</v>
      </c>
      <c r="E151" t="s">
        <v>225</v>
      </c>
      <c r="F151" s="21">
        <v>37350</v>
      </c>
      <c r="G151">
        <v>10</v>
      </c>
      <c r="H151" t="s">
        <v>282</v>
      </c>
      <c r="I151" t="s">
        <v>199</v>
      </c>
      <c r="J151" t="s">
        <v>68</v>
      </c>
      <c r="K151" t="s">
        <v>74</v>
      </c>
      <c r="L151" t="s">
        <v>203</v>
      </c>
      <c r="M151" t="s">
        <v>226</v>
      </c>
    </row>
    <row r="152" spans="1:13" hidden="1" x14ac:dyDescent="0.2">
      <c r="A152">
        <v>2</v>
      </c>
      <c r="C152" t="s">
        <v>224</v>
      </c>
      <c r="D152">
        <v>10</v>
      </c>
      <c r="E152" t="s">
        <v>225</v>
      </c>
      <c r="F152" s="21">
        <v>37350</v>
      </c>
      <c r="G152">
        <v>11</v>
      </c>
      <c r="H152" t="s">
        <v>282</v>
      </c>
      <c r="I152" t="s">
        <v>200</v>
      </c>
      <c r="J152" t="s">
        <v>71</v>
      </c>
      <c r="K152" t="s">
        <v>73</v>
      </c>
      <c r="L152" t="s">
        <v>203</v>
      </c>
    </row>
    <row r="153" spans="1:13" hidden="1" x14ac:dyDescent="0.2">
      <c r="A153">
        <v>2</v>
      </c>
      <c r="C153" t="s">
        <v>224</v>
      </c>
      <c r="D153">
        <v>10</v>
      </c>
      <c r="E153" t="s">
        <v>225</v>
      </c>
      <c r="F153" s="21">
        <v>37350</v>
      </c>
      <c r="G153">
        <v>12</v>
      </c>
      <c r="H153" t="s">
        <v>282</v>
      </c>
      <c r="I153" t="s">
        <v>199</v>
      </c>
      <c r="J153" t="s">
        <v>68</v>
      </c>
      <c r="K153" t="s">
        <v>74</v>
      </c>
      <c r="L153" t="s">
        <v>203</v>
      </c>
    </row>
    <row r="154" spans="1:13" hidden="1" x14ac:dyDescent="0.2">
      <c r="A154">
        <v>2</v>
      </c>
      <c r="C154" t="s">
        <v>224</v>
      </c>
      <c r="D154">
        <v>10</v>
      </c>
      <c r="E154" t="s">
        <v>225</v>
      </c>
      <c r="F154" s="21">
        <v>37350</v>
      </c>
      <c r="G154">
        <v>13</v>
      </c>
      <c r="H154" t="s">
        <v>287</v>
      </c>
      <c r="I154" t="s">
        <v>200</v>
      </c>
      <c r="J154" t="s">
        <v>71</v>
      </c>
      <c r="K154" t="s">
        <v>79</v>
      </c>
      <c r="L154" t="s">
        <v>203</v>
      </c>
    </row>
    <row r="155" spans="1:13" hidden="1" x14ac:dyDescent="0.2">
      <c r="A155">
        <v>2</v>
      </c>
      <c r="C155" t="s">
        <v>224</v>
      </c>
      <c r="D155">
        <v>10</v>
      </c>
      <c r="E155" t="s">
        <v>225</v>
      </c>
      <c r="F155" s="21">
        <v>37350</v>
      </c>
      <c r="G155">
        <v>13</v>
      </c>
      <c r="H155" t="s">
        <v>281</v>
      </c>
      <c r="I155" t="s">
        <v>200</v>
      </c>
      <c r="J155" t="s">
        <v>71</v>
      </c>
      <c r="K155" t="s">
        <v>79</v>
      </c>
      <c r="L155" t="s">
        <v>203</v>
      </c>
    </row>
    <row r="156" spans="1:13" hidden="1" x14ac:dyDescent="0.2">
      <c r="A156">
        <v>2</v>
      </c>
      <c r="C156" t="s">
        <v>224</v>
      </c>
      <c r="D156">
        <v>10</v>
      </c>
      <c r="E156" t="s">
        <v>225</v>
      </c>
      <c r="F156" s="21">
        <v>37350</v>
      </c>
      <c r="G156">
        <v>13</v>
      </c>
      <c r="H156" t="s">
        <v>287</v>
      </c>
      <c r="I156" t="s">
        <v>6</v>
      </c>
      <c r="J156" t="s">
        <v>66</v>
      </c>
      <c r="K156" t="s">
        <v>72</v>
      </c>
      <c r="L156" t="s">
        <v>202</v>
      </c>
    </row>
    <row r="157" spans="1:13" hidden="1" x14ac:dyDescent="0.2">
      <c r="A157">
        <v>2</v>
      </c>
      <c r="C157" t="s">
        <v>224</v>
      </c>
      <c r="D157">
        <v>10</v>
      </c>
      <c r="E157" t="s">
        <v>225</v>
      </c>
      <c r="F157" s="21">
        <v>37350</v>
      </c>
      <c r="G157">
        <v>13</v>
      </c>
      <c r="H157" t="s">
        <v>281</v>
      </c>
      <c r="I157" t="s">
        <v>9</v>
      </c>
      <c r="J157" t="s">
        <v>66</v>
      </c>
      <c r="K157" t="s">
        <v>79</v>
      </c>
      <c r="L157" t="s">
        <v>203</v>
      </c>
    </row>
    <row r="158" spans="1:13" hidden="1" x14ac:dyDescent="0.2">
      <c r="A158">
        <v>2</v>
      </c>
      <c r="C158" t="s">
        <v>224</v>
      </c>
      <c r="D158">
        <v>10</v>
      </c>
      <c r="E158" t="s">
        <v>225</v>
      </c>
      <c r="F158" s="21">
        <v>37350</v>
      </c>
      <c r="G158">
        <v>13</v>
      </c>
      <c r="H158" t="s">
        <v>285</v>
      </c>
      <c r="I158" t="s">
        <v>21</v>
      </c>
      <c r="J158" t="s">
        <v>66</v>
      </c>
      <c r="K158" t="s">
        <v>75</v>
      </c>
      <c r="L158" t="s">
        <v>204</v>
      </c>
    </row>
    <row r="159" spans="1:13" hidden="1" x14ac:dyDescent="0.2">
      <c r="A159">
        <v>2</v>
      </c>
      <c r="C159" t="s">
        <v>224</v>
      </c>
      <c r="D159">
        <v>10</v>
      </c>
      <c r="E159" t="s">
        <v>225</v>
      </c>
      <c r="F159" s="21">
        <v>37350</v>
      </c>
      <c r="G159">
        <v>13</v>
      </c>
      <c r="H159" t="s">
        <v>280</v>
      </c>
      <c r="I159" t="s">
        <v>6</v>
      </c>
      <c r="J159" t="s">
        <v>64</v>
      </c>
      <c r="K159" t="s">
        <v>67</v>
      </c>
      <c r="L159" t="s">
        <v>202</v>
      </c>
    </row>
    <row r="160" spans="1:13" hidden="1" x14ac:dyDescent="0.2">
      <c r="A160">
        <v>2</v>
      </c>
      <c r="C160" t="s">
        <v>224</v>
      </c>
      <c r="D160">
        <v>10</v>
      </c>
      <c r="E160" t="s">
        <v>225</v>
      </c>
      <c r="F160" s="21">
        <v>37350</v>
      </c>
      <c r="G160">
        <v>15</v>
      </c>
      <c r="H160" t="s">
        <v>294</v>
      </c>
      <c r="I160" t="s">
        <v>200</v>
      </c>
      <c r="J160" t="s">
        <v>71</v>
      </c>
      <c r="K160" t="s">
        <v>75</v>
      </c>
      <c r="L160" t="s">
        <v>204</v>
      </c>
    </row>
    <row r="161" spans="1:13" hidden="1" x14ac:dyDescent="0.2">
      <c r="A161">
        <v>2</v>
      </c>
      <c r="C161" t="s">
        <v>224</v>
      </c>
      <c r="D161">
        <v>10</v>
      </c>
      <c r="E161" t="s">
        <v>225</v>
      </c>
      <c r="F161" s="21">
        <v>37350</v>
      </c>
      <c r="G161">
        <v>15</v>
      </c>
      <c r="H161" t="s">
        <v>293</v>
      </c>
      <c r="I161" t="s">
        <v>12</v>
      </c>
      <c r="J161" t="s">
        <v>71</v>
      </c>
      <c r="K161" t="s">
        <v>75</v>
      </c>
      <c r="L161" t="s">
        <v>204</v>
      </c>
    </row>
    <row r="162" spans="1:13" hidden="1" x14ac:dyDescent="0.2">
      <c r="A162">
        <v>2</v>
      </c>
      <c r="C162" t="s">
        <v>224</v>
      </c>
      <c r="D162">
        <v>10</v>
      </c>
      <c r="E162" t="s">
        <v>225</v>
      </c>
      <c r="F162" s="21">
        <v>37350</v>
      </c>
      <c r="G162">
        <v>15</v>
      </c>
      <c r="H162" t="s">
        <v>293</v>
      </c>
      <c r="I162" t="s">
        <v>40</v>
      </c>
      <c r="K162" t="s">
        <v>75</v>
      </c>
      <c r="L162" t="s">
        <v>204</v>
      </c>
    </row>
    <row r="163" spans="1:13" hidden="1" x14ac:dyDescent="0.2">
      <c r="A163">
        <v>2</v>
      </c>
      <c r="C163" t="s">
        <v>224</v>
      </c>
      <c r="D163">
        <v>10</v>
      </c>
      <c r="E163" t="s">
        <v>225</v>
      </c>
      <c r="F163" s="21">
        <v>37350</v>
      </c>
      <c r="G163">
        <v>16</v>
      </c>
      <c r="H163" t="s">
        <v>294</v>
      </c>
      <c r="I163" t="s">
        <v>205</v>
      </c>
      <c r="J163" t="s">
        <v>64</v>
      </c>
      <c r="K163" t="s">
        <v>75</v>
      </c>
      <c r="L163" t="s">
        <v>204</v>
      </c>
    </row>
    <row r="164" spans="1:13" hidden="1" x14ac:dyDescent="0.2">
      <c r="A164">
        <v>2</v>
      </c>
      <c r="C164" t="s">
        <v>224</v>
      </c>
      <c r="D164">
        <v>10</v>
      </c>
      <c r="E164" t="s">
        <v>225</v>
      </c>
      <c r="F164" s="21">
        <v>37350</v>
      </c>
      <c r="G164">
        <v>17</v>
      </c>
      <c r="H164" t="s">
        <v>294</v>
      </c>
      <c r="I164" t="s">
        <v>200</v>
      </c>
      <c r="J164" t="s">
        <v>71</v>
      </c>
      <c r="K164" t="s">
        <v>74</v>
      </c>
      <c r="L164" t="s">
        <v>203</v>
      </c>
    </row>
    <row r="165" spans="1:13" hidden="1" x14ac:dyDescent="0.2">
      <c r="A165">
        <v>2</v>
      </c>
      <c r="C165" t="s">
        <v>224</v>
      </c>
      <c r="D165">
        <v>10</v>
      </c>
      <c r="E165" t="s">
        <v>225</v>
      </c>
      <c r="F165" s="21">
        <v>37350</v>
      </c>
      <c r="G165">
        <v>17</v>
      </c>
      <c r="H165" t="s">
        <v>294</v>
      </c>
      <c r="I165" t="s">
        <v>38</v>
      </c>
      <c r="K165" t="s">
        <v>74</v>
      </c>
      <c r="L165" t="s">
        <v>203</v>
      </c>
    </row>
    <row r="166" spans="1:13" hidden="1" x14ac:dyDescent="0.2">
      <c r="A166">
        <v>2</v>
      </c>
      <c r="C166" t="s">
        <v>224</v>
      </c>
      <c r="D166">
        <v>10</v>
      </c>
      <c r="E166" t="s">
        <v>225</v>
      </c>
      <c r="F166" s="21">
        <v>37350</v>
      </c>
      <c r="G166">
        <v>18</v>
      </c>
      <c r="H166" t="s">
        <v>285</v>
      </c>
      <c r="I166" t="s">
        <v>30</v>
      </c>
      <c r="J166" t="s">
        <v>71</v>
      </c>
      <c r="K166" t="s">
        <v>74</v>
      </c>
      <c r="L166" t="s">
        <v>203</v>
      </c>
    </row>
    <row r="167" spans="1:13" hidden="1" x14ac:dyDescent="0.2">
      <c r="A167">
        <v>2</v>
      </c>
      <c r="C167" t="s">
        <v>224</v>
      </c>
      <c r="D167">
        <v>10</v>
      </c>
      <c r="E167" t="s">
        <v>225</v>
      </c>
      <c r="F167" s="21">
        <v>37350</v>
      </c>
      <c r="G167">
        <v>19</v>
      </c>
      <c r="H167" t="s">
        <v>294</v>
      </c>
      <c r="I167" t="s">
        <v>200</v>
      </c>
      <c r="J167" t="s">
        <v>71</v>
      </c>
      <c r="K167" t="s">
        <v>74</v>
      </c>
      <c r="L167" t="s">
        <v>203</v>
      </c>
    </row>
    <row r="168" spans="1:13" hidden="1" x14ac:dyDescent="0.2">
      <c r="A168">
        <v>2</v>
      </c>
      <c r="C168" t="s">
        <v>224</v>
      </c>
      <c r="D168">
        <v>10</v>
      </c>
      <c r="E168" t="s">
        <v>225</v>
      </c>
      <c r="F168" s="21">
        <v>37350</v>
      </c>
      <c r="G168">
        <v>20</v>
      </c>
      <c r="H168" t="s">
        <v>287</v>
      </c>
      <c r="I168" t="s">
        <v>200</v>
      </c>
      <c r="J168" t="s">
        <v>71</v>
      </c>
      <c r="K168" t="s">
        <v>74</v>
      </c>
      <c r="L168" t="s">
        <v>203</v>
      </c>
    </row>
    <row r="169" spans="1:13" hidden="1" x14ac:dyDescent="0.2">
      <c r="A169">
        <v>2</v>
      </c>
      <c r="C169" t="s">
        <v>224</v>
      </c>
      <c r="D169">
        <v>10</v>
      </c>
      <c r="E169" t="s">
        <v>225</v>
      </c>
      <c r="F169" s="21">
        <v>37350</v>
      </c>
      <c r="G169">
        <v>20</v>
      </c>
      <c r="H169" t="s">
        <v>281</v>
      </c>
      <c r="I169" t="s">
        <v>200</v>
      </c>
      <c r="J169" t="s">
        <v>71</v>
      </c>
      <c r="K169" t="s">
        <v>72</v>
      </c>
      <c r="L169" t="s">
        <v>202</v>
      </c>
    </row>
    <row r="170" spans="1:13" hidden="1" x14ac:dyDescent="0.2">
      <c r="A170">
        <v>2</v>
      </c>
      <c r="C170" t="s">
        <v>224</v>
      </c>
      <c r="D170">
        <v>10</v>
      </c>
      <c r="E170" t="s">
        <v>225</v>
      </c>
      <c r="F170" s="21">
        <v>37350</v>
      </c>
      <c r="G170">
        <v>21</v>
      </c>
      <c r="H170" t="s">
        <v>294</v>
      </c>
      <c r="I170" t="s">
        <v>200</v>
      </c>
      <c r="J170" t="s">
        <v>71</v>
      </c>
      <c r="K170" t="s">
        <v>74</v>
      </c>
      <c r="L170" t="s">
        <v>203</v>
      </c>
    </row>
    <row r="171" spans="1:13" hidden="1" x14ac:dyDescent="0.2">
      <c r="A171">
        <v>2</v>
      </c>
      <c r="C171" t="s">
        <v>224</v>
      </c>
      <c r="D171">
        <v>10</v>
      </c>
      <c r="E171" t="s">
        <v>225</v>
      </c>
      <c r="F171" s="21">
        <v>37350</v>
      </c>
      <c r="G171">
        <v>22</v>
      </c>
      <c r="H171" t="s">
        <v>294</v>
      </c>
      <c r="I171" t="s">
        <v>205</v>
      </c>
      <c r="J171" t="s">
        <v>64</v>
      </c>
      <c r="K171" t="s">
        <v>74</v>
      </c>
      <c r="L171" t="s">
        <v>203</v>
      </c>
    </row>
    <row r="172" spans="1:13" hidden="1" x14ac:dyDescent="0.2">
      <c r="A172">
        <v>2</v>
      </c>
      <c r="C172" t="s">
        <v>224</v>
      </c>
      <c r="D172">
        <v>10</v>
      </c>
      <c r="E172" t="s">
        <v>225</v>
      </c>
      <c r="F172" s="21">
        <v>37350</v>
      </c>
      <c r="G172">
        <v>22</v>
      </c>
      <c r="H172" t="s">
        <v>293</v>
      </c>
      <c r="I172" t="s">
        <v>36</v>
      </c>
      <c r="J172" t="s">
        <v>64</v>
      </c>
      <c r="K172" t="s">
        <v>74</v>
      </c>
      <c r="L172" t="s">
        <v>203</v>
      </c>
      <c r="M172" t="s">
        <v>227</v>
      </c>
    </row>
    <row r="173" spans="1:13" hidden="1" x14ac:dyDescent="0.2">
      <c r="A173">
        <v>2</v>
      </c>
      <c r="C173" t="s">
        <v>224</v>
      </c>
      <c r="D173">
        <v>10</v>
      </c>
      <c r="E173" t="s">
        <v>225</v>
      </c>
      <c r="F173" s="21">
        <v>37350</v>
      </c>
      <c r="G173">
        <v>22</v>
      </c>
      <c r="H173" t="s">
        <v>280</v>
      </c>
      <c r="I173" t="s">
        <v>6</v>
      </c>
      <c r="J173" t="s">
        <v>66</v>
      </c>
      <c r="K173" t="s">
        <v>75</v>
      </c>
      <c r="L173" t="s">
        <v>204</v>
      </c>
    </row>
    <row r="174" spans="1:13" hidden="1" x14ac:dyDescent="0.2">
      <c r="A174">
        <v>2</v>
      </c>
      <c r="C174" t="s">
        <v>224</v>
      </c>
      <c r="D174">
        <v>10</v>
      </c>
      <c r="E174" t="s">
        <v>225</v>
      </c>
      <c r="F174" s="21">
        <v>37350</v>
      </c>
      <c r="G174">
        <v>23</v>
      </c>
      <c r="H174" t="s">
        <v>279</v>
      </c>
      <c r="I174" t="s">
        <v>12</v>
      </c>
      <c r="J174" t="s">
        <v>64</v>
      </c>
      <c r="K174" t="s">
        <v>75</v>
      </c>
      <c r="L174" t="s">
        <v>204</v>
      </c>
    </row>
    <row r="175" spans="1:13" hidden="1" x14ac:dyDescent="0.2">
      <c r="A175">
        <v>2</v>
      </c>
      <c r="C175" t="s">
        <v>224</v>
      </c>
      <c r="D175">
        <v>10</v>
      </c>
      <c r="E175" t="s">
        <v>225</v>
      </c>
      <c r="F175" s="21">
        <v>37350</v>
      </c>
      <c r="G175">
        <v>24</v>
      </c>
      <c r="H175" t="s">
        <v>285</v>
      </c>
      <c r="I175" t="s">
        <v>14</v>
      </c>
      <c r="J175" t="s">
        <v>64</v>
      </c>
      <c r="K175" t="s">
        <v>75</v>
      </c>
      <c r="L175" t="s">
        <v>204</v>
      </c>
    </row>
    <row r="176" spans="1:13" hidden="1" x14ac:dyDescent="0.2">
      <c r="A176">
        <v>2</v>
      </c>
      <c r="C176" t="s">
        <v>224</v>
      </c>
      <c r="D176">
        <v>10</v>
      </c>
      <c r="E176" t="s">
        <v>225</v>
      </c>
      <c r="F176" s="21">
        <v>37350</v>
      </c>
      <c r="G176">
        <v>24</v>
      </c>
      <c r="H176" t="s">
        <v>281</v>
      </c>
      <c r="I176" t="s">
        <v>36</v>
      </c>
      <c r="J176" t="s">
        <v>66</v>
      </c>
      <c r="K176" t="s">
        <v>75</v>
      </c>
      <c r="L176" t="s">
        <v>204</v>
      </c>
    </row>
    <row r="177" spans="1:13" hidden="1" x14ac:dyDescent="0.2">
      <c r="A177">
        <v>2</v>
      </c>
      <c r="C177" t="s">
        <v>224</v>
      </c>
      <c r="D177">
        <v>10</v>
      </c>
      <c r="E177" t="s">
        <v>225</v>
      </c>
      <c r="F177" s="21">
        <v>37350</v>
      </c>
      <c r="G177">
        <v>25</v>
      </c>
      <c r="H177" t="s">
        <v>295</v>
      </c>
      <c r="I177" t="s">
        <v>32</v>
      </c>
      <c r="J177" t="s">
        <v>66</v>
      </c>
      <c r="K177" t="s">
        <v>65</v>
      </c>
      <c r="L177" t="s">
        <v>202</v>
      </c>
    </row>
    <row r="178" spans="1:13" hidden="1" x14ac:dyDescent="0.2">
      <c r="A178">
        <v>2</v>
      </c>
      <c r="C178" t="s">
        <v>224</v>
      </c>
      <c r="D178">
        <v>10</v>
      </c>
      <c r="E178" t="s">
        <v>225</v>
      </c>
      <c r="F178" s="21">
        <v>37350</v>
      </c>
      <c r="G178">
        <v>26</v>
      </c>
      <c r="H178" t="s">
        <v>285</v>
      </c>
      <c r="I178" t="s">
        <v>199</v>
      </c>
      <c r="J178" t="s">
        <v>68</v>
      </c>
      <c r="K178" t="s">
        <v>75</v>
      </c>
      <c r="L178" t="s">
        <v>204</v>
      </c>
    </row>
    <row r="179" spans="1:13" hidden="1" x14ac:dyDescent="0.2">
      <c r="A179">
        <v>2</v>
      </c>
      <c r="C179" t="s">
        <v>224</v>
      </c>
      <c r="D179">
        <v>10</v>
      </c>
      <c r="E179" t="s">
        <v>225</v>
      </c>
      <c r="F179" s="21">
        <v>37350</v>
      </c>
      <c r="G179">
        <v>27</v>
      </c>
      <c r="H179" t="s">
        <v>294</v>
      </c>
      <c r="I179" t="s">
        <v>200</v>
      </c>
      <c r="J179" t="s">
        <v>71</v>
      </c>
      <c r="K179" t="s">
        <v>74</v>
      </c>
      <c r="L179" t="s">
        <v>203</v>
      </c>
    </row>
    <row r="180" spans="1:13" hidden="1" x14ac:dyDescent="0.2">
      <c r="A180">
        <v>2</v>
      </c>
      <c r="C180" t="s">
        <v>224</v>
      </c>
      <c r="D180">
        <v>10</v>
      </c>
      <c r="E180" t="s">
        <v>225</v>
      </c>
      <c r="F180" s="21">
        <v>37350</v>
      </c>
      <c r="G180">
        <v>27</v>
      </c>
      <c r="H180" t="s">
        <v>290</v>
      </c>
      <c r="I180" t="s">
        <v>6</v>
      </c>
      <c r="J180" t="s">
        <v>66</v>
      </c>
      <c r="K180" t="s">
        <v>74</v>
      </c>
      <c r="L180" t="s">
        <v>203</v>
      </c>
    </row>
    <row r="181" spans="1:13" hidden="1" x14ac:dyDescent="0.2">
      <c r="A181">
        <v>2</v>
      </c>
      <c r="C181" t="s">
        <v>224</v>
      </c>
      <c r="D181">
        <v>10</v>
      </c>
      <c r="E181" t="s">
        <v>225</v>
      </c>
      <c r="F181" s="21">
        <v>37350</v>
      </c>
      <c r="G181">
        <v>27</v>
      </c>
      <c r="H181" t="s">
        <v>290</v>
      </c>
      <c r="I181" t="s">
        <v>36</v>
      </c>
      <c r="J181" t="s">
        <v>64</v>
      </c>
      <c r="K181" t="s">
        <v>65</v>
      </c>
      <c r="L181" t="s">
        <v>202</v>
      </c>
    </row>
    <row r="182" spans="1:13" hidden="1" x14ac:dyDescent="0.2">
      <c r="A182">
        <v>2</v>
      </c>
      <c r="C182" t="s">
        <v>224</v>
      </c>
      <c r="D182">
        <v>10</v>
      </c>
      <c r="E182" t="s">
        <v>225</v>
      </c>
      <c r="F182" s="21">
        <v>37350</v>
      </c>
      <c r="G182">
        <v>28</v>
      </c>
      <c r="H182" t="s">
        <v>280</v>
      </c>
      <c r="I182" t="s">
        <v>6</v>
      </c>
      <c r="J182" t="s">
        <v>66</v>
      </c>
      <c r="K182" t="s">
        <v>67</v>
      </c>
      <c r="L182" t="s">
        <v>202</v>
      </c>
    </row>
    <row r="183" spans="1:13" hidden="1" x14ac:dyDescent="0.2">
      <c r="A183">
        <v>2</v>
      </c>
      <c r="C183" t="s">
        <v>224</v>
      </c>
      <c r="D183">
        <v>10</v>
      </c>
      <c r="E183" t="s">
        <v>225</v>
      </c>
      <c r="F183" s="21">
        <v>37350</v>
      </c>
      <c r="G183">
        <v>29</v>
      </c>
      <c r="H183" t="s">
        <v>281</v>
      </c>
      <c r="I183" t="s">
        <v>76</v>
      </c>
      <c r="K183" t="s">
        <v>67</v>
      </c>
      <c r="L183" t="s">
        <v>202</v>
      </c>
      <c r="M183" t="s">
        <v>228</v>
      </c>
    </row>
    <row r="184" spans="1:13" hidden="1" x14ac:dyDescent="0.2">
      <c r="A184">
        <v>2</v>
      </c>
      <c r="C184" t="s">
        <v>224</v>
      </c>
      <c r="D184">
        <v>10</v>
      </c>
      <c r="E184" t="s">
        <v>225</v>
      </c>
      <c r="F184" s="21">
        <v>37350</v>
      </c>
      <c r="G184">
        <v>29</v>
      </c>
      <c r="H184" t="s">
        <v>290</v>
      </c>
      <c r="I184" t="s">
        <v>30</v>
      </c>
      <c r="J184" t="s">
        <v>66</v>
      </c>
      <c r="L184" t="s">
        <v>204</v>
      </c>
      <c r="M184" t="s">
        <v>229</v>
      </c>
    </row>
    <row r="185" spans="1:13" hidden="1" x14ac:dyDescent="0.2">
      <c r="A185">
        <v>2</v>
      </c>
      <c r="C185" t="s">
        <v>224</v>
      </c>
      <c r="D185">
        <v>10</v>
      </c>
      <c r="E185" t="s">
        <v>225</v>
      </c>
      <c r="F185" s="21">
        <v>37350</v>
      </c>
      <c r="G185">
        <v>32</v>
      </c>
      <c r="H185" t="s">
        <v>293</v>
      </c>
      <c r="I185" t="s">
        <v>38</v>
      </c>
      <c r="L185" t="s">
        <v>204</v>
      </c>
      <c r="M185" t="s">
        <v>230</v>
      </c>
    </row>
    <row r="186" spans="1:13" hidden="1" x14ac:dyDescent="0.2">
      <c r="A186">
        <v>2</v>
      </c>
      <c r="C186" t="s">
        <v>224</v>
      </c>
      <c r="D186">
        <v>10</v>
      </c>
      <c r="E186" t="s">
        <v>225</v>
      </c>
      <c r="F186" s="21">
        <v>37350</v>
      </c>
      <c r="G186">
        <v>32</v>
      </c>
      <c r="H186" t="s">
        <v>287</v>
      </c>
      <c r="I186" t="s">
        <v>199</v>
      </c>
      <c r="J186" t="s">
        <v>71</v>
      </c>
      <c r="K186" t="s">
        <v>73</v>
      </c>
      <c r="L186" t="s">
        <v>204</v>
      </c>
      <c r="M186" t="s">
        <v>231</v>
      </c>
    </row>
    <row r="187" spans="1:13" hidden="1" x14ac:dyDescent="0.2">
      <c r="A187">
        <v>2</v>
      </c>
      <c r="C187" t="s">
        <v>224</v>
      </c>
      <c r="D187">
        <v>10</v>
      </c>
      <c r="E187" t="s">
        <v>225</v>
      </c>
      <c r="F187" s="21">
        <v>37350</v>
      </c>
      <c r="G187">
        <v>33</v>
      </c>
      <c r="H187" t="s">
        <v>280</v>
      </c>
      <c r="I187" t="s">
        <v>6</v>
      </c>
      <c r="J187" t="s">
        <v>66</v>
      </c>
      <c r="K187" t="s">
        <v>75</v>
      </c>
      <c r="L187" t="s">
        <v>204</v>
      </c>
    </row>
    <row r="188" spans="1:13" hidden="1" x14ac:dyDescent="0.2">
      <c r="A188">
        <v>2</v>
      </c>
      <c r="C188" t="s">
        <v>224</v>
      </c>
      <c r="D188">
        <v>10</v>
      </c>
      <c r="E188" t="s">
        <v>225</v>
      </c>
      <c r="F188" s="21">
        <v>37350</v>
      </c>
      <c r="G188">
        <v>33</v>
      </c>
      <c r="H188" t="s">
        <v>280</v>
      </c>
      <c r="I188" t="s">
        <v>36</v>
      </c>
      <c r="K188" t="s">
        <v>75</v>
      </c>
      <c r="L188" t="s">
        <v>204</v>
      </c>
    </row>
    <row r="189" spans="1:13" hidden="1" x14ac:dyDescent="0.2">
      <c r="A189">
        <v>2</v>
      </c>
      <c r="C189" t="s">
        <v>224</v>
      </c>
      <c r="D189">
        <v>10</v>
      </c>
      <c r="E189" t="s">
        <v>225</v>
      </c>
      <c r="F189" s="21">
        <v>37350</v>
      </c>
      <c r="G189">
        <v>33</v>
      </c>
      <c r="H189" t="s">
        <v>295</v>
      </c>
      <c r="I189" t="s">
        <v>200</v>
      </c>
      <c r="J189" t="s">
        <v>71</v>
      </c>
      <c r="K189" t="s">
        <v>65</v>
      </c>
      <c r="L189" t="s">
        <v>202</v>
      </c>
    </row>
    <row r="190" spans="1:13" hidden="1" x14ac:dyDescent="0.2">
      <c r="A190">
        <v>2</v>
      </c>
      <c r="C190" t="s">
        <v>224</v>
      </c>
      <c r="D190">
        <v>10</v>
      </c>
      <c r="E190" t="s">
        <v>225</v>
      </c>
      <c r="F190" s="21">
        <v>37350</v>
      </c>
      <c r="G190">
        <v>35</v>
      </c>
      <c r="H190" t="s">
        <v>287</v>
      </c>
      <c r="I190" t="s">
        <v>23</v>
      </c>
      <c r="J190" t="s">
        <v>66</v>
      </c>
      <c r="K190" t="s">
        <v>75</v>
      </c>
      <c r="L190" t="s">
        <v>204</v>
      </c>
      <c r="M190" t="s">
        <v>232</v>
      </c>
    </row>
    <row r="191" spans="1:13" hidden="1" x14ac:dyDescent="0.2">
      <c r="A191">
        <v>2</v>
      </c>
      <c r="C191" t="s">
        <v>224</v>
      </c>
      <c r="D191">
        <v>10</v>
      </c>
      <c r="E191" t="s">
        <v>225</v>
      </c>
      <c r="F191" s="21">
        <v>37350</v>
      </c>
      <c r="G191">
        <v>35</v>
      </c>
      <c r="H191" t="s">
        <v>282</v>
      </c>
      <c r="I191" t="s">
        <v>38</v>
      </c>
      <c r="J191" t="s">
        <v>66</v>
      </c>
      <c r="K191" t="s">
        <v>74</v>
      </c>
      <c r="L191" t="s">
        <v>203</v>
      </c>
      <c r="M191" t="s">
        <v>230</v>
      </c>
    </row>
    <row r="192" spans="1:13" hidden="1" x14ac:dyDescent="0.2">
      <c r="A192">
        <v>2</v>
      </c>
      <c r="C192" t="s">
        <v>224</v>
      </c>
      <c r="D192">
        <v>10</v>
      </c>
      <c r="E192" t="s">
        <v>225</v>
      </c>
      <c r="F192" s="21">
        <v>37350</v>
      </c>
      <c r="G192">
        <v>36</v>
      </c>
      <c r="H192" t="s">
        <v>294</v>
      </c>
      <c r="I192" t="s">
        <v>200</v>
      </c>
      <c r="J192" t="s">
        <v>66</v>
      </c>
      <c r="K192" t="s">
        <v>67</v>
      </c>
      <c r="L192" t="s">
        <v>202</v>
      </c>
    </row>
    <row r="193" spans="1:12" hidden="1" x14ac:dyDescent="0.2">
      <c r="A193">
        <v>2</v>
      </c>
      <c r="C193" t="s">
        <v>224</v>
      </c>
      <c r="D193">
        <v>10</v>
      </c>
      <c r="E193" t="s">
        <v>225</v>
      </c>
      <c r="F193" s="21">
        <v>37350</v>
      </c>
      <c r="G193">
        <v>36</v>
      </c>
      <c r="H193" t="s">
        <v>282</v>
      </c>
      <c r="I193" t="s">
        <v>36</v>
      </c>
      <c r="J193" t="s">
        <v>64</v>
      </c>
      <c r="K193" t="s">
        <v>73</v>
      </c>
      <c r="L193" t="s">
        <v>203</v>
      </c>
    </row>
    <row r="194" spans="1:12" hidden="1" x14ac:dyDescent="0.2">
      <c r="A194">
        <v>2</v>
      </c>
      <c r="C194" t="s">
        <v>224</v>
      </c>
      <c r="D194">
        <v>10</v>
      </c>
      <c r="E194" t="s">
        <v>225</v>
      </c>
      <c r="F194" s="21">
        <v>37350</v>
      </c>
      <c r="G194">
        <v>38</v>
      </c>
      <c r="H194" t="s">
        <v>279</v>
      </c>
      <c r="I194" t="s">
        <v>200</v>
      </c>
      <c r="J194" t="s">
        <v>68</v>
      </c>
      <c r="K194" t="s">
        <v>69</v>
      </c>
      <c r="L194" t="s">
        <v>204</v>
      </c>
    </row>
    <row r="195" spans="1:12" hidden="1" x14ac:dyDescent="0.2">
      <c r="A195">
        <v>2</v>
      </c>
      <c r="C195" t="s">
        <v>224</v>
      </c>
      <c r="D195">
        <v>10</v>
      </c>
      <c r="E195" t="s">
        <v>225</v>
      </c>
      <c r="F195" s="21">
        <v>37350</v>
      </c>
      <c r="G195">
        <v>38</v>
      </c>
      <c r="H195" t="s">
        <v>287</v>
      </c>
      <c r="I195" t="s">
        <v>205</v>
      </c>
      <c r="J195" t="s">
        <v>66</v>
      </c>
      <c r="K195" t="s">
        <v>75</v>
      </c>
      <c r="L195" t="s">
        <v>204</v>
      </c>
    </row>
    <row r="196" spans="1:12" hidden="1" x14ac:dyDescent="0.2">
      <c r="A196">
        <v>2</v>
      </c>
      <c r="C196" t="s">
        <v>224</v>
      </c>
      <c r="D196">
        <v>10</v>
      </c>
      <c r="E196" t="s">
        <v>225</v>
      </c>
      <c r="F196" s="21">
        <v>37350</v>
      </c>
      <c r="G196">
        <v>38</v>
      </c>
      <c r="H196" t="s">
        <v>282</v>
      </c>
      <c r="I196" t="s">
        <v>36</v>
      </c>
      <c r="J196" t="s">
        <v>66</v>
      </c>
      <c r="K196" t="s">
        <v>73</v>
      </c>
      <c r="L196" t="s">
        <v>203</v>
      </c>
    </row>
    <row r="197" spans="1:12" hidden="1" x14ac:dyDescent="0.2">
      <c r="A197">
        <v>2</v>
      </c>
      <c r="C197" t="s">
        <v>224</v>
      </c>
      <c r="D197">
        <v>10</v>
      </c>
      <c r="E197" t="s">
        <v>225</v>
      </c>
      <c r="F197" s="21">
        <v>37350</v>
      </c>
      <c r="G197">
        <v>38</v>
      </c>
      <c r="H197" t="s">
        <v>280</v>
      </c>
      <c r="I197" t="s">
        <v>21</v>
      </c>
      <c r="J197" t="s">
        <v>64</v>
      </c>
      <c r="K197" t="s">
        <v>75</v>
      </c>
      <c r="L197" t="s">
        <v>204</v>
      </c>
    </row>
    <row r="198" spans="1:12" hidden="1" x14ac:dyDescent="0.2">
      <c r="A198">
        <v>2</v>
      </c>
      <c r="C198" t="s">
        <v>224</v>
      </c>
      <c r="D198">
        <v>10</v>
      </c>
      <c r="E198" t="s">
        <v>225</v>
      </c>
      <c r="F198" s="21">
        <v>37350</v>
      </c>
      <c r="G198">
        <v>39</v>
      </c>
      <c r="H198" t="s">
        <v>285</v>
      </c>
      <c r="I198" t="s">
        <v>12</v>
      </c>
      <c r="J198" t="s">
        <v>66</v>
      </c>
      <c r="K198" t="s">
        <v>75</v>
      </c>
      <c r="L198" t="s">
        <v>204</v>
      </c>
    </row>
    <row r="199" spans="1:12" hidden="1" x14ac:dyDescent="0.2">
      <c r="A199">
        <v>2</v>
      </c>
      <c r="C199" t="s">
        <v>224</v>
      </c>
      <c r="D199">
        <v>10</v>
      </c>
      <c r="E199" t="s">
        <v>225</v>
      </c>
      <c r="F199" s="21">
        <v>37350</v>
      </c>
      <c r="G199">
        <v>39</v>
      </c>
      <c r="H199" t="s">
        <v>285</v>
      </c>
      <c r="I199" t="s">
        <v>21</v>
      </c>
      <c r="J199" t="s">
        <v>64</v>
      </c>
      <c r="K199" t="s">
        <v>75</v>
      </c>
      <c r="L199" t="s">
        <v>204</v>
      </c>
    </row>
    <row r="200" spans="1:12" hidden="1" x14ac:dyDescent="0.2">
      <c r="A200">
        <v>2</v>
      </c>
      <c r="C200" t="s">
        <v>224</v>
      </c>
      <c r="D200">
        <v>10</v>
      </c>
      <c r="E200" t="s">
        <v>225</v>
      </c>
      <c r="F200" s="21">
        <v>37350</v>
      </c>
      <c r="G200">
        <v>41</v>
      </c>
      <c r="H200" t="s">
        <v>280</v>
      </c>
      <c r="I200" t="s">
        <v>30</v>
      </c>
      <c r="J200" t="s">
        <v>64</v>
      </c>
      <c r="K200" t="s">
        <v>67</v>
      </c>
      <c r="L200" t="s">
        <v>202</v>
      </c>
    </row>
    <row r="201" spans="1:12" hidden="1" x14ac:dyDescent="0.2">
      <c r="A201">
        <v>2</v>
      </c>
      <c r="C201" t="s">
        <v>224</v>
      </c>
      <c r="D201">
        <v>10</v>
      </c>
      <c r="E201" t="s">
        <v>225</v>
      </c>
      <c r="F201" s="21">
        <v>37350</v>
      </c>
      <c r="G201">
        <v>41</v>
      </c>
      <c r="H201" t="s">
        <v>294</v>
      </c>
      <c r="I201" t="s">
        <v>76</v>
      </c>
      <c r="J201" t="s">
        <v>66</v>
      </c>
      <c r="K201" t="s">
        <v>74</v>
      </c>
      <c r="L201" t="s">
        <v>203</v>
      </c>
    </row>
    <row r="202" spans="1:12" hidden="1" x14ac:dyDescent="0.2">
      <c r="A202">
        <v>2</v>
      </c>
      <c r="C202" t="s">
        <v>224</v>
      </c>
      <c r="D202">
        <v>10</v>
      </c>
      <c r="E202" t="s">
        <v>225</v>
      </c>
      <c r="F202" s="21">
        <v>37350</v>
      </c>
      <c r="G202">
        <v>42</v>
      </c>
      <c r="H202" t="s">
        <v>294</v>
      </c>
      <c r="I202" t="s">
        <v>205</v>
      </c>
      <c r="K202" t="s">
        <v>75</v>
      </c>
      <c r="L202" t="s">
        <v>204</v>
      </c>
    </row>
    <row r="203" spans="1:12" hidden="1" x14ac:dyDescent="0.2">
      <c r="A203">
        <v>2</v>
      </c>
      <c r="C203" t="s">
        <v>224</v>
      </c>
      <c r="D203">
        <v>10</v>
      </c>
      <c r="E203" t="s">
        <v>225</v>
      </c>
      <c r="F203" s="21">
        <v>37350</v>
      </c>
      <c r="G203">
        <v>43</v>
      </c>
      <c r="H203" t="s">
        <v>281</v>
      </c>
      <c r="I203" t="s">
        <v>200</v>
      </c>
      <c r="K203" t="s">
        <v>75</v>
      </c>
      <c r="L203" t="s">
        <v>204</v>
      </c>
    </row>
    <row r="204" spans="1:12" hidden="1" x14ac:dyDescent="0.2">
      <c r="A204">
        <v>2</v>
      </c>
      <c r="C204" t="s">
        <v>224</v>
      </c>
      <c r="D204">
        <v>10</v>
      </c>
      <c r="E204" t="s">
        <v>225</v>
      </c>
      <c r="F204" s="21">
        <v>37350</v>
      </c>
      <c r="G204">
        <v>44</v>
      </c>
      <c r="H204" t="s">
        <v>285</v>
      </c>
      <c r="I204" t="s">
        <v>12</v>
      </c>
      <c r="J204" t="s">
        <v>71</v>
      </c>
      <c r="K204" t="s">
        <v>75</v>
      </c>
      <c r="L204" t="s">
        <v>204</v>
      </c>
    </row>
    <row r="205" spans="1:12" hidden="1" x14ac:dyDescent="0.2">
      <c r="A205">
        <v>2</v>
      </c>
      <c r="C205" t="s">
        <v>224</v>
      </c>
      <c r="D205">
        <v>10</v>
      </c>
      <c r="E205" t="s">
        <v>225</v>
      </c>
      <c r="F205" s="21">
        <v>37350</v>
      </c>
      <c r="G205">
        <v>44</v>
      </c>
      <c r="H205" t="s">
        <v>281</v>
      </c>
      <c r="I205" t="s">
        <v>23</v>
      </c>
      <c r="K205" t="s">
        <v>75</v>
      </c>
      <c r="L205" t="s">
        <v>204</v>
      </c>
    </row>
    <row r="206" spans="1:12" hidden="1" x14ac:dyDescent="0.2">
      <c r="A206">
        <v>2</v>
      </c>
      <c r="C206" t="s">
        <v>224</v>
      </c>
      <c r="D206">
        <v>10</v>
      </c>
      <c r="E206" t="s">
        <v>225</v>
      </c>
      <c r="F206" s="21">
        <v>37350</v>
      </c>
      <c r="G206">
        <v>44</v>
      </c>
      <c r="H206" t="s">
        <v>295</v>
      </c>
      <c r="I206" t="s">
        <v>14</v>
      </c>
      <c r="J206" t="s">
        <v>66</v>
      </c>
      <c r="K206" t="s">
        <v>69</v>
      </c>
      <c r="L206" t="s">
        <v>204</v>
      </c>
    </row>
    <row r="207" spans="1:12" hidden="1" x14ac:dyDescent="0.2">
      <c r="A207">
        <v>2</v>
      </c>
      <c r="C207" t="s">
        <v>224</v>
      </c>
      <c r="D207">
        <v>10</v>
      </c>
      <c r="E207" t="s">
        <v>225</v>
      </c>
      <c r="F207" s="21">
        <v>37350</v>
      </c>
      <c r="G207">
        <v>45</v>
      </c>
      <c r="H207" t="s">
        <v>279</v>
      </c>
      <c r="I207" t="s">
        <v>12</v>
      </c>
      <c r="K207" t="s">
        <v>78</v>
      </c>
      <c r="L207" t="s">
        <v>204</v>
      </c>
    </row>
    <row r="208" spans="1:12" hidden="1" x14ac:dyDescent="0.2">
      <c r="A208">
        <v>2</v>
      </c>
      <c r="C208" t="s">
        <v>224</v>
      </c>
      <c r="D208">
        <v>10</v>
      </c>
      <c r="E208" t="s">
        <v>225</v>
      </c>
      <c r="F208" s="21">
        <v>37350</v>
      </c>
      <c r="G208">
        <v>45</v>
      </c>
      <c r="H208" t="s">
        <v>279</v>
      </c>
      <c r="I208" t="s">
        <v>14</v>
      </c>
      <c r="J208" t="s">
        <v>80</v>
      </c>
      <c r="K208" t="s">
        <v>69</v>
      </c>
      <c r="L208" t="s">
        <v>204</v>
      </c>
    </row>
    <row r="209" spans="1:13" hidden="1" x14ac:dyDescent="0.2">
      <c r="A209">
        <v>2</v>
      </c>
      <c r="C209" t="s">
        <v>224</v>
      </c>
      <c r="D209">
        <v>10</v>
      </c>
      <c r="E209" t="s">
        <v>225</v>
      </c>
      <c r="F209" s="21">
        <v>37350</v>
      </c>
      <c r="G209">
        <v>45</v>
      </c>
      <c r="H209" t="s">
        <v>287</v>
      </c>
      <c r="I209" t="s">
        <v>205</v>
      </c>
      <c r="K209" t="s">
        <v>73</v>
      </c>
      <c r="L209" t="s">
        <v>203</v>
      </c>
      <c r="M209" t="s">
        <v>231</v>
      </c>
    </row>
    <row r="210" spans="1:13" hidden="1" x14ac:dyDescent="0.2">
      <c r="A210">
        <v>2</v>
      </c>
      <c r="C210" t="s">
        <v>224</v>
      </c>
      <c r="D210">
        <v>10</v>
      </c>
      <c r="E210" t="s">
        <v>225</v>
      </c>
      <c r="F210" s="21">
        <v>37350</v>
      </c>
      <c r="G210">
        <v>1</v>
      </c>
      <c r="H210" t="s">
        <v>293</v>
      </c>
      <c r="I210" t="s">
        <v>199</v>
      </c>
      <c r="J210" t="s">
        <v>71</v>
      </c>
      <c r="K210" t="s">
        <v>73</v>
      </c>
      <c r="L210" t="s">
        <v>204</v>
      </c>
      <c r="M210" t="s">
        <v>231</v>
      </c>
    </row>
    <row r="211" spans="1:13" hidden="1" x14ac:dyDescent="0.2">
      <c r="A211">
        <v>2</v>
      </c>
      <c r="C211" t="s">
        <v>224</v>
      </c>
      <c r="D211">
        <v>10</v>
      </c>
      <c r="E211" t="s">
        <v>225</v>
      </c>
      <c r="F211" s="21">
        <v>37350</v>
      </c>
      <c r="G211">
        <v>1</v>
      </c>
      <c r="H211" t="s">
        <v>292</v>
      </c>
      <c r="I211" t="s">
        <v>199</v>
      </c>
      <c r="J211" t="s">
        <v>71</v>
      </c>
      <c r="K211" t="s">
        <v>70</v>
      </c>
      <c r="L211" t="s">
        <v>203</v>
      </c>
    </row>
    <row r="212" spans="1:13" hidden="1" x14ac:dyDescent="0.2">
      <c r="A212">
        <v>2</v>
      </c>
      <c r="C212" t="s">
        <v>224</v>
      </c>
      <c r="D212">
        <v>10</v>
      </c>
      <c r="E212" t="s">
        <v>225</v>
      </c>
      <c r="F212" s="21">
        <v>37350</v>
      </c>
      <c r="G212">
        <v>1</v>
      </c>
      <c r="H212" t="s">
        <v>292</v>
      </c>
      <c r="I212" t="s">
        <v>199</v>
      </c>
      <c r="J212" t="s">
        <v>71</v>
      </c>
      <c r="K212" t="s">
        <v>73</v>
      </c>
      <c r="L212" t="s">
        <v>204</v>
      </c>
    </row>
    <row r="213" spans="1:13" hidden="1" x14ac:dyDescent="0.2">
      <c r="A213">
        <v>2</v>
      </c>
      <c r="C213" t="s">
        <v>224</v>
      </c>
      <c r="D213">
        <v>10</v>
      </c>
      <c r="E213" t="s">
        <v>225</v>
      </c>
      <c r="F213" s="21">
        <v>37350</v>
      </c>
      <c r="G213">
        <v>3</v>
      </c>
      <c r="H213" t="s">
        <v>292</v>
      </c>
      <c r="I213" t="s">
        <v>14</v>
      </c>
      <c r="J213" t="s">
        <v>80</v>
      </c>
      <c r="K213" t="s">
        <v>78</v>
      </c>
      <c r="L213" t="s">
        <v>204</v>
      </c>
    </row>
    <row r="214" spans="1:13" hidden="1" x14ac:dyDescent="0.2">
      <c r="A214">
        <v>2</v>
      </c>
      <c r="C214" t="s">
        <v>224</v>
      </c>
      <c r="D214">
        <v>10</v>
      </c>
      <c r="E214" t="s">
        <v>225</v>
      </c>
      <c r="F214" s="21">
        <v>37350</v>
      </c>
      <c r="G214">
        <v>3</v>
      </c>
      <c r="H214" t="s">
        <v>293</v>
      </c>
      <c r="I214" t="s">
        <v>6</v>
      </c>
      <c r="J214" t="s">
        <v>64</v>
      </c>
      <c r="K214" t="s">
        <v>73</v>
      </c>
      <c r="L214" t="s">
        <v>204</v>
      </c>
    </row>
    <row r="215" spans="1:13" hidden="1" x14ac:dyDescent="0.2">
      <c r="A215">
        <v>2</v>
      </c>
      <c r="C215" t="s">
        <v>224</v>
      </c>
      <c r="D215">
        <v>10</v>
      </c>
      <c r="E215" t="s">
        <v>225</v>
      </c>
      <c r="F215" s="21">
        <v>37350</v>
      </c>
      <c r="G215">
        <v>3</v>
      </c>
      <c r="H215" t="s">
        <v>279</v>
      </c>
      <c r="I215" t="s">
        <v>34</v>
      </c>
      <c r="J215" t="s">
        <v>66</v>
      </c>
      <c r="K215" t="s">
        <v>69</v>
      </c>
      <c r="L215" t="s">
        <v>204</v>
      </c>
    </row>
    <row r="216" spans="1:13" hidden="1" x14ac:dyDescent="0.2">
      <c r="A216">
        <v>2</v>
      </c>
      <c r="C216" t="s">
        <v>224</v>
      </c>
      <c r="D216">
        <v>10</v>
      </c>
      <c r="E216" t="s">
        <v>225</v>
      </c>
      <c r="F216" s="21">
        <v>37350</v>
      </c>
      <c r="G216">
        <v>3</v>
      </c>
      <c r="H216" t="s">
        <v>294</v>
      </c>
      <c r="I216" t="s">
        <v>9</v>
      </c>
      <c r="J216" t="s">
        <v>66</v>
      </c>
      <c r="L216" t="s">
        <v>204</v>
      </c>
      <c r="M216" t="s">
        <v>233</v>
      </c>
    </row>
    <row r="217" spans="1:13" hidden="1" x14ac:dyDescent="0.2">
      <c r="A217">
        <v>2</v>
      </c>
      <c r="C217" t="s">
        <v>224</v>
      </c>
      <c r="D217">
        <v>10</v>
      </c>
      <c r="E217" t="s">
        <v>225</v>
      </c>
      <c r="F217" s="21">
        <v>37350</v>
      </c>
      <c r="G217">
        <v>5</v>
      </c>
      <c r="H217" t="s">
        <v>293</v>
      </c>
      <c r="I217" t="s">
        <v>21</v>
      </c>
      <c r="L217" t="s">
        <v>204</v>
      </c>
    </row>
    <row r="218" spans="1:13" hidden="1" x14ac:dyDescent="0.2">
      <c r="A218">
        <v>2</v>
      </c>
      <c r="C218" t="s">
        <v>224</v>
      </c>
      <c r="D218">
        <v>10</v>
      </c>
      <c r="E218" t="s">
        <v>225</v>
      </c>
      <c r="F218" s="21">
        <v>37350</v>
      </c>
      <c r="G218">
        <v>5</v>
      </c>
      <c r="H218" t="s">
        <v>285</v>
      </c>
      <c r="I218" t="s">
        <v>34</v>
      </c>
      <c r="L218" t="s">
        <v>204</v>
      </c>
    </row>
    <row r="219" spans="1:13" hidden="1" x14ac:dyDescent="0.2">
      <c r="A219">
        <v>2</v>
      </c>
      <c r="C219" t="s">
        <v>224</v>
      </c>
      <c r="D219">
        <v>10</v>
      </c>
      <c r="E219" t="s">
        <v>225</v>
      </c>
      <c r="F219" s="21">
        <v>37350</v>
      </c>
      <c r="G219">
        <v>5</v>
      </c>
      <c r="H219" t="s">
        <v>279</v>
      </c>
      <c r="I219" t="s">
        <v>199</v>
      </c>
      <c r="J219" t="s">
        <v>68</v>
      </c>
      <c r="K219" t="s">
        <v>78</v>
      </c>
      <c r="L219" t="s">
        <v>204</v>
      </c>
    </row>
    <row r="220" spans="1:13" hidden="1" x14ac:dyDescent="0.2">
      <c r="A220">
        <v>2</v>
      </c>
      <c r="C220" t="s">
        <v>224</v>
      </c>
      <c r="D220">
        <v>10</v>
      </c>
      <c r="E220" t="s">
        <v>225</v>
      </c>
      <c r="F220" s="21">
        <v>37350</v>
      </c>
      <c r="G220">
        <v>5</v>
      </c>
      <c r="H220" t="s">
        <v>279</v>
      </c>
      <c r="I220" t="s">
        <v>14</v>
      </c>
      <c r="L220" t="s">
        <v>204</v>
      </c>
      <c r="M220" t="s">
        <v>232</v>
      </c>
    </row>
    <row r="221" spans="1:13" hidden="1" x14ac:dyDescent="0.2">
      <c r="A221">
        <v>2</v>
      </c>
      <c r="C221" t="s">
        <v>224</v>
      </c>
      <c r="D221">
        <v>10</v>
      </c>
      <c r="E221" t="s">
        <v>225</v>
      </c>
      <c r="F221" s="21">
        <v>37350</v>
      </c>
      <c r="G221">
        <v>7</v>
      </c>
      <c r="H221" t="s">
        <v>293</v>
      </c>
      <c r="I221" t="s">
        <v>23</v>
      </c>
      <c r="J221" t="s">
        <v>66</v>
      </c>
      <c r="K221" t="s">
        <v>69</v>
      </c>
      <c r="L221" t="s">
        <v>204</v>
      </c>
    </row>
    <row r="222" spans="1:13" hidden="1" x14ac:dyDescent="0.2">
      <c r="A222">
        <v>2</v>
      </c>
      <c r="C222" t="s">
        <v>224</v>
      </c>
      <c r="D222">
        <v>10</v>
      </c>
      <c r="E222" t="s">
        <v>225</v>
      </c>
      <c r="F222" s="21">
        <v>37350</v>
      </c>
      <c r="G222">
        <v>7</v>
      </c>
      <c r="H222" t="s">
        <v>295</v>
      </c>
      <c r="I222" t="s">
        <v>36</v>
      </c>
      <c r="J222" t="s">
        <v>64</v>
      </c>
      <c r="L222" t="s">
        <v>204</v>
      </c>
      <c r="M222" t="s">
        <v>234</v>
      </c>
    </row>
    <row r="223" spans="1:13" hidden="1" x14ac:dyDescent="0.2">
      <c r="A223">
        <v>2</v>
      </c>
      <c r="C223" t="s">
        <v>224</v>
      </c>
      <c r="D223">
        <v>10</v>
      </c>
      <c r="E223" t="s">
        <v>225</v>
      </c>
      <c r="F223" s="21">
        <v>37350</v>
      </c>
      <c r="G223">
        <v>8</v>
      </c>
      <c r="H223" t="s">
        <v>290</v>
      </c>
      <c r="I223" t="s">
        <v>6</v>
      </c>
      <c r="J223" t="s">
        <v>64</v>
      </c>
      <c r="K223" t="s">
        <v>73</v>
      </c>
      <c r="L223" t="s">
        <v>203</v>
      </c>
    </row>
    <row r="224" spans="1:13" hidden="1" x14ac:dyDescent="0.2">
      <c r="A224">
        <v>2</v>
      </c>
      <c r="C224" t="s">
        <v>224</v>
      </c>
      <c r="D224">
        <v>10</v>
      </c>
      <c r="E224" t="s">
        <v>225</v>
      </c>
      <c r="F224" s="21">
        <v>37350</v>
      </c>
      <c r="H224" t="s">
        <v>293</v>
      </c>
      <c r="I224" t="s">
        <v>6</v>
      </c>
      <c r="J224" t="s">
        <v>66</v>
      </c>
      <c r="K224" t="s">
        <v>73</v>
      </c>
      <c r="L224" t="s">
        <v>203</v>
      </c>
    </row>
    <row r="225" spans="1:12" hidden="1" x14ac:dyDescent="0.2">
      <c r="A225">
        <v>2</v>
      </c>
      <c r="C225" t="s">
        <v>224</v>
      </c>
      <c r="D225">
        <v>10</v>
      </c>
      <c r="E225" t="s">
        <v>225</v>
      </c>
      <c r="F225" s="21">
        <v>37350</v>
      </c>
      <c r="H225" t="s">
        <v>279</v>
      </c>
      <c r="I225" t="s">
        <v>9</v>
      </c>
      <c r="J225" t="s">
        <v>66</v>
      </c>
      <c r="K225" t="s">
        <v>75</v>
      </c>
      <c r="L225" t="s">
        <v>204</v>
      </c>
    </row>
    <row r="226" spans="1:12" hidden="1" x14ac:dyDescent="0.2">
      <c r="A226">
        <v>2</v>
      </c>
      <c r="C226" t="s">
        <v>224</v>
      </c>
      <c r="D226">
        <v>10</v>
      </c>
      <c r="E226" t="s">
        <v>225</v>
      </c>
      <c r="F226" s="21">
        <v>37350</v>
      </c>
      <c r="G226">
        <v>9</v>
      </c>
      <c r="H226" t="s">
        <v>293</v>
      </c>
      <c r="I226" t="s">
        <v>9</v>
      </c>
      <c r="J226" t="s">
        <v>64</v>
      </c>
      <c r="K226" t="s">
        <v>67</v>
      </c>
      <c r="L226" t="s">
        <v>202</v>
      </c>
    </row>
    <row r="227" spans="1:12" hidden="1" x14ac:dyDescent="0.2">
      <c r="A227">
        <v>2</v>
      </c>
      <c r="C227" t="s">
        <v>224</v>
      </c>
      <c r="D227">
        <v>10</v>
      </c>
      <c r="E227" t="s">
        <v>225</v>
      </c>
      <c r="F227" s="21">
        <v>37350</v>
      </c>
      <c r="G227">
        <v>10</v>
      </c>
      <c r="H227" t="s">
        <v>294</v>
      </c>
      <c r="I227" t="s">
        <v>200</v>
      </c>
      <c r="J227" t="s">
        <v>71</v>
      </c>
      <c r="K227" t="s">
        <v>67</v>
      </c>
      <c r="L227" t="s">
        <v>202</v>
      </c>
    </row>
    <row r="228" spans="1:12" hidden="1" x14ac:dyDescent="0.2">
      <c r="A228">
        <v>2</v>
      </c>
      <c r="C228" t="s">
        <v>224</v>
      </c>
      <c r="D228">
        <v>10</v>
      </c>
      <c r="E228" t="s">
        <v>225</v>
      </c>
      <c r="F228" s="21">
        <v>37350</v>
      </c>
      <c r="G228">
        <v>11</v>
      </c>
      <c r="H228" t="s">
        <v>294</v>
      </c>
      <c r="I228" t="s">
        <v>6</v>
      </c>
      <c r="J228" t="s">
        <v>66</v>
      </c>
      <c r="K228" t="s">
        <v>67</v>
      </c>
      <c r="L228" t="s">
        <v>202</v>
      </c>
    </row>
    <row r="229" spans="1:12" hidden="1" x14ac:dyDescent="0.2">
      <c r="A229">
        <v>2</v>
      </c>
      <c r="C229" t="s">
        <v>224</v>
      </c>
      <c r="D229">
        <v>10</v>
      </c>
      <c r="E229" t="s">
        <v>225</v>
      </c>
      <c r="F229" s="21">
        <v>37350</v>
      </c>
      <c r="G229">
        <v>11</v>
      </c>
      <c r="H229" t="s">
        <v>280</v>
      </c>
      <c r="I229" t="s">
        <v>6</v>
      </c>
      <c r="J229" t="s">
        <v>66</v>
      </c>
      <c r="K229" t="s">
        <v>67</v>
      </c>
      <c r="L229" t="s">
        <v>202</v>
      </c>
    </row>
    <row r="230" spans="1:12" hidden="1" x14ac:dyDescent="0.2">
      <c r="A230">
        <v>2</v>
      </c>
      <c r="C230" t="s">
        <v>224</v>
      </c>
      <c r="D230">
        <v>10</v>
      </c>
      <c r="E230" t="s">
        <v>225</v>
      </c>
      <c r="F230" s="21">
        <v>37350</v>
      </c>
      <c r="G230">
        <v>12</v>
      </c>
      <c r="H230" t="s">
        <v>293</v>
      </c>
      <c r="I230" t="s">
        <v>23</v>
      </c>
      <c r="J230" t="s">
        <v>66</v>
      </c>
      <c r="K230" t="s">
        <v>69</v>
      </c>
      <c r="L230" t="s">
        <v>204</v>
      </c>
    </row>
    <row r="231" spans="1:12" hidden="1" x14ac:dyDescent="0.2">
      <c r="A231">
        <v>2</v>
      </c>
      <c r="C231" t="s">
        <v>224</v>
      </c>
      <c r="D231">
        <v>10</v>
      </c>
      <c r="E231" t="s">
        <v>225</v>
      </c>
      <c r="F231" s="21">
        <v>37350</v>
      </c>
      <c r="G231">
        <v>12</v>
      </c>
      <c r="H231" t="s">
        <v>279</v>
      </c>
      <c r="I231" t="s">
        <v>14</v>
      </c>
      <c r="J231" t="s">
        <v>64</v>
      </c>
      <c r="K231" t="s">
        <v>69</v>
      </c>
      <c r="L231" t="s">
        <v>204</v>
      </c>
    </row>
    <row r="232" spans="1:12" hidden="1" x14ac:dyDescent="0.2">
      <c r="A232">
        <v>2</v>
      </c>
      <c r="C232" t="s">
        <v>224</v>
      </c>
      <c r="D232">
        <v>10</v>
      </c>
      <c r="E232" t="s">
        <v>225</v>
      </c>
      <c r="F232" s="21">
        <v>37350</v>
      </c>
      <c r="G232">
        <v>13</v>
      </c>
      <c r="H232" t="s">
        <v>286</v>
      </c>
      <c r="I232" t="s">
        <v>38</v>
      </c>
      <c r="J232" t="s">
        <v>66</v>
      </c>
      <c r="K232" t="s">
        <v>75</v>
      </c>
      <c r="L232" t="s">
        <v>204</v>
      </c>
    </row>
    <row r="233" spans="1:12" hidden="1" x14ac:dyDescent="0.2">
      <c r="A233">
        <v>2</v>
      </c>
      <c r="C233" t="s">
        <v>224</v>
      </c>
      <c r="D233">
        <v>10</v>
      </c>
      <c r="E233" t="s">
        <v>225</v>
      </c>
      <c r="F233" s="21">
        <v>37350</v>
      </c>
      <c r="G233">
        <v>11</v>
      </c>
      <c r="H233" t="s">
        <v>286</v>
      </c>
      <c r="I233" t="s">
        <v>9</v>
      </c>
      <c r="J233" t="s">
        <v>66</v>
      </c>
      <c r="K233" t="s">
        <v>73</v>
      </c>
      <c r="L233" t="s">
        <v>203</v>
      </c>
    </row>
    <row r="234" spans="1:12" hidden="1" x14ac:dyDescent="0.2">
      <c r="A234">
        <v>2</v>
      </c>
      <c r="C234" t="s">
        <v>224</v>
      </c>
      <c r="D234">
        <v>10</v>
      </c>
      <c r="E234" t="s">
        <v>225</v>
      </c>
      <c r="F234" s="21">
        <v>37350</v>
      </c>
      <c r="G234">
        <v>13</v>
      </c>
      <c r="H234" t="s">
        <v>285</v>
      </c>
      <c r="I234" t="s">
        <v>200</v>
      </c>
      <c r="J234" t="s">
        <v>71</v>
      </c>
      <c r="K234" t="s">
        <v>75</v>
      </c>
      <c r="L234" t="s">
        <v>204</v>
      </c>
    </row>
    <row r="235" spans="1:12" hidden="1" x14ac:dyDescent="0.2">
      <c r="A235">
        <v>2</v>
      </c>
      <c r="C235" t="s">
        <v>224</v>
      </c>
      <c r="D235">
        <v>10</v>
      </c>
      <c r="E235" t="s">
        <v>225</v>
      </c>
      <c r="F235" s="21">
        <v>37350</v>
      </c>
      <c r="G235">
        <v>14</v>
      </c>
      <c r="H235" t="s">
        <v>295</v>
      </c>
      <c r="I235" t="s">
        <v>30</v>
      </c>
      <c r="J235" t="s">
        <v>71</v>
      </c>
      <c r="K235" t="s">
        <v>74</v>
      </c>
      <c r="L235" t="s">
        <v>203</v>
      </c>
    </row>
    <row r="236" spans="1:12" hidden="1" x14ac:dyDescent="0.2">
      <c r="A236">
        <v>2</v>
      </c>
      <c r="C236" t="s">
        <v>224</v>
      </c>
      <c r="D236">
        <v>10</v>
      </c>
      <c r="E236" t="s">
        <v>225</v>
      </c>
      <c r="F236" s="21">
        <v>37350</v>
      </c>
      <c r="G236">
        <v>15</v>
      </c>
      <c r="H236" t="s">
        <v>293</v>
      </c>
      <c r="I236" t="s">
        <v>9</v>
      </c>
      <c r="J236" t="s">
        <v>64</v>
      </c>
      <c r="K236" t="s">
        <v>75</v>
      </c>
      <c r="L236" t="s">
        <v>204</v>
      </c>
    </row>
    <row r="237" spans="1:12" hidden="1" x14ac:dyDescent="0.2">
      <c r="A237">
        <v>2</v>
      </c>
      <c r="C237" t="s">
        <v>224</v>
      </c>
      <c r="D237">
        <v>10</v>
      </c>
      <c r="E237" t="s">
        <v>225</v>
      </c>
      <c r="F237" s="21">
        <v>37350</v>
      </c>
      <c r="G237">
        <v>14</v>
      </c>
      <c r="H237" t="s">
        <v>279</v>
      </c>
      <c r="I237" t="s">
        <v>23</v>
      </c>
      <c r="J237" t="s">
        <v>66</v>
      </c>
      <c r="K237" t="s">
        <v>69</v>
      </c>
      <c r="L237" t="s">
        <v>204</v>
      </c>
    </row>
    <row r="238" spans="1:12" hidden="1" x14ac:dyDescent="0.2">
      <c r="A238">
        <v>2</v>
      </c>
      <c r="C238" t="s">
        <v>224</v>
      </c>
      <c r="D238">
        <v>10</v>
      </c>
      <c r="E238" t="s">
        <v>225</v>
      </c>
      <c r="F238" s="21">
        <v>37350</v>
      </c>
      <c r="G238">
        <v>15</v>
      </c>
      <c r="H238" t="s">
        <v>293</v>
      </c>
      <c r="I238" t="s">
        <v>30</v>
      </c>
      <c r="J238" t="s">
        <v>71</v>
      </c>
      <c r="K238" t="s">
        <v>73</v>
      </c>
      <c r="L238" t="s">
        <v>203</v>
      </c>
    </row>
    <row r="239" spans="1:12" hidden="1" x14ac:dyDescent="0.2">
      <c r="A239">
        <v>2</v>
      </c>
      <c r="C239" t="s">
        <v>224</v>
      </c>
      <c r="D239">
        <v>10</v>
      </c>
      <c r="E239" t="s">
        <v>225</v>
      </c>
      <c r="F239" s="21">
        <v>37350</v>
      </c>
      <c r="G239">
        <v>15</v>
      </c>
      <c r="H239" t="s">
        <v>293</v>
      </c>
      <c r="I239" t="s">
        <v>9</v>
      </c>
      <c r="J239" t="s">
        <v>66</v>
      </c>
      <c r="K239" t="s">
        <v>73</v>
      </c>
      <c r="L239" t="s">
        <v>203</v>
      </c>
    </row>
    <row r="240" spans="1:12" hidden="1" x14ac:dyDescent="0.2">
      <c r="A240">
        <v>2</v>
      </c>
      <c r="C240" t="s">
        <v>224</v>
      </c>
      <c r="D240">
        <v>10</v>
      </c>
      <c r="E240" t="s">
        <v>225</v>
      </c>
      <c r="F240" s="21">
        <v>37350</v>
      </c>
      <c r="G240">
        <v>15</v>
      </c>
      <c r="H240" t="s">
        <v>279</v>
      </c>
      <c r="I240" t="s">
        <v>12</v>
      </c>
      <c r="J240" t="s">
        <v>64</v>
      </c>
      <c r="K240" t="s">
        <v>69</v>
      </c>
      <c r="L240" t="s">
        <v>204</v>
      </c>
    </row>
    <row r="241" spans="1:13" hidden="1" x14ac:dyDescent="0.2">
      <c r="A241">
        <v>2</v>
      </c>
      <c r="C241" t="s">
        <v>224</v>
      </c>
      <c r="D241">
        <v>10</v>
      </c>
      <c r="E241" t="s">
        <v>225</v>
      </c>
      <c r="F241" s="21">
        <v>37350</v>
      </c>
      <c r="G241">
        <v>17</v>
      </c>
      <c r="H241" t="s">
        <v>281</v>
      </c>
      <c r="I241" t="s">
        <v>36</v>
      </c>
      <c r="J241" t="s">
        <v>66</v>
      </c>
      <c r="K241" t="s">
        <v>73</v>
      </c>
      <c r="L241" t="s">
        <v>203</v>
      </c>
    </row>
    <row r="242" spans="1:13" hidden="1" x14ac:dyDescent="0.2">
      <c r="A242">
        <v>2</v>
      </c>
      <c r="C242" t="s">
        <v>224</v>
      </c>
      <c r="D242">
        <v>10</v>
      </c>
      <c r="E242" t="s">
        <v>225</v>
      </c>
      <c r="F242" s="21">
        <v>37350</v>
      </c>
      <c r="G242">
        <v>17</v>
      </c>
      <c r="H242" t="s">
        <v>294</v>
      </c>
      <c r="I242" t="s">
        <v>200</v>
      </c>
      <c r="J242" t="s">
        <v>71</v>
      </c>
      <c r="K242" t="s">
        <v>74</v>
      </c>
      <c r="L242" t="s">
        <v>203</v>
      </c>
    </row>
    <row r="243" spans="1:13" hidden="1" x14ac:dyDescent="0.2">
      <c r="A243">
        <v>2</v>
      </c>
      <c r="C243" t="s">
        <v>224</v>
      </c>
      <c r="D243">
        <v>10</v>
      </c>
      <c r="E243" t="s">
        <v>225</v>
      </c>
      <c r="F243" s="21">
        <v>37350</v>
      </c>
      <c r="G243">
        <v>18</v>
      </c>
      <c r="H243" t="s">
        <v>279</v>
      </c>
      <c r="I243" t="s">
        <v>30</v>
      </c>
      <c r="J243" t="s">
        <v>71</v>
      </c>
      <c r="K243" t="s">
        <v>75</v>
      </c>
      <c r="L243" t="s">
        <v>204</v>
      </c>
    </row>
    <row r="244" spans="1:13" hidden="1" x14ac:dyDescent="0.2">
      <c r="A244">
        <v>2</v>
      </c>
      <c r="C244" t="s">
        <v>224</v>
      </c>
      <c r="D244">
        <v>10</v>
      </c>
      <c r="E244" t="s">
        <v>225</v>
      </c>
      <c r="F244" s="21">
        <v>37350</v>
      </c>
      <c r="G244">
        <v>19</v>
      </c>
      <c r="H244" t="s">
        <v>290</v>
      </c>
      <c r="I244" t="s">
        <v>34</v>
      </c>
      <c r="J244" t="s">
        <v>71</v>
      </c>
      <c r="K244" t="s">
        <v>69</v>
      </c>
      <c r="L244" t="s">
        <v>204</v>
      </c>
    </row>
    <row r="245" spans="1:13" hidden="1" x14ac:dyDescent="0.2">
      <c r="A245">
        <v>2</v>
      </c>
      <c r="C245" t="s">
        <v>224</v>
      </c>
      <c r="D245">
        <v>10</v>
      </c>
      <c r="E245" t="s">
        <v>225</v>
      </c>
      <c r="F245" s="21">
        <v>37350</v>
      </c>
      <c r="G245">
        <v>19</v>
      </c>
      <c r="H245" t="s">
        <v>290</v>
      </c>
      <c r="I245" t="s">
        <v>14</v>
      </c>
      <c r="J245" t="s">
        <v>80</v>
      </c>
      <c r="K245" t="s">
        <v>69</v>
      </c>
      <c r="L245" t="s">
        <v>204</v>
      </c>
    </row>
    <row r="246" spans="1:13" hidden="1" x14ac:dyDescent="0.2">
      <c r="A246">
        <v>2</v>
      </c>
      <c r="C246" t="s">
        <v>224</v>
      </c>
      <c r="D246">
        <v>10</v>
      </c>
      <c r="E246" t="s">
        <v>225</v>
      </c>
      <c r="F246" s="21">
        <v>37350</v>
      </c>
      <c r="G246">
        <v>20</v>
      </c>
      <c r="H246" t="s">
        <v>292</v>
      </c>
      <c r="I246" t="s">
        <v>30</v>
      </c>
      <c r="J246" t="s">
        <v>71</v>
      </c>
      <c r="K246" t="s">
        <v>72</v>
      </c>
      <c r="L246" t="s">
        <v>202</v>
      </c>
      <c r="M246" t="s">
        <v>235</v>
      </c>
    </row>
    <row r="247" spans="1:13" hidden="1" x14ac:dyDescent="0.2">
      <c r="A247">
        <v>2</v>
      </c>
      <c r="C247" t="s">
        <v>224</v>
      </c>
      <c r="D247">
        <v>10</v>
      </c>
      <c r="E247" t="s">
        <v>225</v>
      </c>
      <c r="F247" s="21">
        <v>37350</v>
      </c>
      <c r="G247">
        <v>21</v>
      </c>
      <c r="H247" t="s">
        <v>281</v>
      </c>
      <c r="I247" t="s">
        <v>38</v>
      </c>
      <c r="J247" t="s">
        <v>66</v>
      </c>
      <c r="K247" t="s">
        <v>72</v>
      </c>
      <c r="L247" t="s">
        <v>202</v>
      </c>
    </row>
    <row r="248" spans="1:13" hidden="1" x14ac:dyDescent="0.2">
      <c r="A248">
        <v>2</v>
      </c>
      <c r="C248" t="s">
        <v>224</v>
      </c>
      <c r="D248">
        <v>10</v>
      </c>
      <c r="E248" t="s">
        <v>225</v>
      </c>
      <c r="F248" s="21">
        <v>37350</v>
      </c>
      <c r="G248">
        <v>23</v>
      </c>
      <c r="H248" t="s">
        <v>285</v>
      </c>
      <c r="I248" t="s">
        <v>36</v>
      </c>
      <c r="J248" t="s">
        <v>64</v>
      </c>
      <c r="K248" t="s">
        <v>73</v>
      </c>
      <c r="L248" t="s">
        <v>203</v>
      </c>
    </row>
    <row r="249" spans="1:13" hidden="1" x14ac:dyDescent="0.2">
      <c r="A249">
        <v>2</v>
      </c>
      <c r="C249" t="s">
        <v>224</v>
      </c>
      <c r="D249">
        <v>10</v>
      </c>
      <c r="E249" t="s">
        <v>225</v>
      </c>
      <c r="F249" s="21">
        <v>37350</v>
      </c>
      <c r="G249">
        <v>23</v>
      </c>
      <c r="H249" t="s">
        <v>280</v>
      </c>
      <c r="I249" t="s">
        <v>76</v>
      </c>
      <c r="J249" t="s">
        <v>64</v>
      </c>
      <c r="K249" t="s">
        <v>67</v>
      </c>
      <c r="L249" t="s">
        <v>202</v>
      </c>
    </row>
    <row r="250" spans="1:13" hidden="1" x14ac:dyDescent="0.2">
      <c r="A250">
        <v>2</v>
      </c>
      <c r="C250" t="s">
        <v>224</v>
      </c>
      <c r="D250">
        <v>10</v>
      </c>
      <c r="E250" t="s">
        <v>225</v>
      </c>
      <c r="F250" s="21">
        <v>37350</v>
      </c>
      <c r="G250">
        <v>25</v>
      </c>
      <c r="H250" t="s">
        <v>290</v>
      </c>
      <c r="I250" t="s">
        <v>38</v>
      </c>
      <c r="J250" t="s">
        <v>66</v>
      </c>
      <c r="K250" t="s">
        <v>67</v>
      </c>
      <c r="L250" t="s">
        <v>202</v>
      </c>
      <c r="M250" t="s">
        <v>236</v>
      </c>
    </row>
    <row r="251" spans="1:13" hidden="1" x14ac:dyDescent="0.2">
      <c r="A251">
        <v>2</v>
      </c>
      <c r="C251" t="s">
        <v>224</v>
      </c>
      <c r="D251">
        <v>10</v>
      </c>
      <c r="E251" t="s">
        <v>225</v>
      </c>
      <c r="F251" s="21">
        <v>37350</v>
      </c>
      <c r="G251">
        <v>27</v>
      </c>
      <c r="H251" t="s">
        <v>294</v>
      </c>
      <c r="I251" t="s">
        <v>200</v>
      </c>
      <c r="K251" t="s">
        <v>74</v>
      </c>
      <c r="L251" t="s">
        <v>203</v>
      </c>
    </row>
    <row r="252" spans="1:13" hidden="1" x14ac:dyDescent="0.2">
      <c r="A252">
        <v>2</v>
      </c>
      <c r="C252" t="s">
        <v>224</v>
      </c>
      <c r="D252">
        <v>10</v>
      </c>
      <c r="E252" t="s">
        <v>225</v>
      </c>
      <c r="F252" s="21">
        <v>37350</v>
      </c>
      <c r="G252">
        <v>27</v>
      </c>
      <c r="H252" t="s">
        <v>286</v>
      </c>
      <c r="I252" t="s">
        <v>199</v>
      </c>
      <c r="J252" t="s">
        <v>71</v>
      </c>
      <c r="K252" t="s">
        <v>73</v>
      </c>
      <c r="L252" t="s">
        <v>204</v>
      </c>
    </row>
    <row r="253" spans="1:13" hidden="1" x14ac:dyDescent="0.2">
      <c r="A253">
        <v>2</v>
      </c>
      <c r="C253" t="s">
        <v>224</v>
      </c>
      <c r="D253">
        <v>10</v>
      </c>
      <c r="E253" t="s">
        <v>225</v>
      </c>
      <c r="F253" s="21">
        <v>37350</v>
      </c>
      <c r="G253">
        <v>28</v>
      </c>
      <c r="H253" t="s">
        <v>293</v>
      </c>
      <c r="I253" t="s">
        <v>205</v>
      </c>
      <c r="J253" t="s">
        <v>66</v>
      </c>
      <c r="K253" t="s">
        <v>73</v>
      </c>
      <c r="L253" t="s">
        <v>203</v>
      </c>
    </row>
    <row r="254" spans="1:13" hidden="1" x14ac:dyDescent="0.2">
      <c r="A254">
        <v>2</v>
      </c>
      <c r="C254" t="s">
        <v>224</v>
      </c>
      <c r="D254">
        <v>10</v>
      </c>
      <c r="E254" t="s">
        <v>225</v>
      </c>
      <c r="F254" s="21">
        <v>37350</v>
      </c>
      <c r="G254">
        <v>29</v>
      </c>
      <c r="H254" t="s">
        <v>285</v>
      </c>
      <c r="I254" t="s">
        <v>76</v>
      </c>
      <c r="K254" t="s">
        <v>75</v>
      </c>
      <c r="L254" t="s">
        <v>204</v>
      </c>
    </row>
    <row r="255" spans="1:13" hidden="1" x14ac:dyDescent="0.2">
      <c r="A255">
        <v>2</v>
      </c>
      <c r="C255" t="s">
        <v>224</v>
      </c>
      <c r="D255">
        <v>10</v>
      </c>
      <c r="E255" t="s">
        <v>225</v>
      </c>
      <c r="F255" s="21">
        <v>37350</v>
      </c>
      <c r="G255">
        <v>29</v>
      </c>
      <c r="H255" t="s">
        <v>281</v>
      </c>
      <c r="I255" t="s">
        <v>200</v>
      </c>
      <c r="J255" t="s">
        <v>66</v>
      </c>
      <c r="K255" t="s">
        <v>72</v>
      </c>
      <c r="L255" t="s">
        <v>202</v>
      </c>
    </row>
    <row r="256" spans="1:13" hidden="1" x14ac:dyDescent="0.2">
      <c r="A256">
        <v>2</v>
      </c>
      <c r="C256" t="s">
        <v>224</v>
      </c>
      <c r="D256">
        <v>10</v>
      </c>
      <c r="E256" t="s">
        <v>225</v>
      </c>
      <c r="F256" s="21">
        <v>37350</v>
      </c>
      <c r="G256">
        <v>29</v>
      </c>
      <c r="H256" t="s">
        <v>285</v>
      </c>
      <c r="I256" t="s">
        <v>12</v>
      </c>
      <c r="J256" t="s">
        <v>64</v>
      </c>
      <c r="K256" t="s">
        <v>75</v>
      </c>
      <c r="L256" t="s">
        <v>204</v>
      </c>
    </row>
    <row r="257" spans="1:13" hidden="1" x14ac:dyDescent="0.2">
      <c r="A257">
        <v>2</v>
      </c>
      <c r="C257" t="s">
        <v>224</v>
      </c>
      <c r="D257">
        <v>10</v>
      </c>
      <c r="E257" t="s">
        <v>225</v>
      </c>
      <c r="F257" s="21">
        <v>37350</v>
      </c>
      <c r="G257">
        <v>30</v>
      </c>
      <c r="H257" t="s">
        <v>292</v>
      </c>
      <c r="I257" t="s">
        <v>34</v>
      </c>
      <c r="J257" t="s">
        <v>71</v>
      </c>
      <c r="K257" t="s">
        <v>69</v>
      </c>
      <c r="L257" t="s">
        <v>204</v>
      </c>
      <c r="M257" t="s">
        <v>232</v>
      </c>
    </row>
    <row r="258" spans="1:13" hidden="1" x14ac:dyDescent="0.2">
      <c r="A258">
        <v>2</v>
      </c>
      <c r="C258" t="s">
        <v>224</v>
      </c>
      <c r="D258">
        <v>10</v>
      </c>
      <c r="E258" t="s">
        <v>225</v>
      </c>
      <c r="F258" s="21">
        <v>37350</v>
      </c>
      <c r="G258">
        <v>31</v>
      </c>
      <c r="H258" t="s">
        <v>294</v>
      </c>
      <c r="I258" t="s">
        <v>30</v>
      </c>
      <c r="J258" t="s">
        <v>68</v>
      </c>
      <c r="L258" t="s">
        <v>204</v>
      </c>
      <c r="M258" t="s">
        <v>237</v>
      </c>
    </row>
    <row r="259" spans="1:13" hidden="1" x14ac:dyDescent="0.2">
      <c r="A259">
        <v>2</v>
      </c>
      <c r="C259" t="s">
        <v>224</v>
      </c>
      <c r="D259">
        <v>10</v>
      </c>
      <c r="E259" t="s">
        <v>225</v>
      </c>
      <c r="F259" s="21">
        <v>37350</v>
      </c>
      <c r="G259">
        <v>31</v>
      </c>
      <c r="H259" t="s">
        <v>295</v>
      </c>
      <c r="I259" t="s">
        <v>30</v>
      </c>
      <c r="J259" t="s">
        <v>66</v>
      </c>
      <c r="L259" t="s">
        <v>204</v>
      </c>
      <c r="M259" t="s">
        <v>238</v>
      </c>
    </row>
    <row r="260" spans="1:13" hidden="1" x14ac:dyDescent="0.2">
      <c r="A260">
        <v>2</v>
      </c>
      <c r="C260" t="s">
        <v>224</v>
      </c>
      <c r="D260">
        <v>10</v>
      </c>
      <c r="E260" t="s">
        <v>225</v>
      </c>
      <c r="F260" s="21">
        <v>37350</v>
      </c>
      <c r="G260">
        <v>33</v>
      </c>
      <c r="H260" t="s">
        <v>296</v>
      </c>
      <c r="I260" t="s">
        <v>200</v>
      </c>
      <c r="J260" t="s">
        <v>68</v>
      </c>
      <c r="K260" t="s">
        <v>74</v>
      </c>
      <c r="L260" t="s">
        <v>203</v>
      </c>
    </row>
    <row r="261" spans="1:13" hidden="1" x14ac:dyDescent="0.2">
      <c r="A261">
        <v>2</v>
      </c>
      <c r="C261" t="s">
        <v>224</v>
      </c>
      <c r="D261">
        <v>10</v>
      </c>
      <c r="E261" t="s">
        <v>225</v>
      </c>
      <c r="F261" s="21">
        <v>37350</v>
      </c>
      <c r="G261">
        <v>34</v>
      </c>
      <c r="H261" t="s">
        <v>286</v>
      </c>
      <c r="I261" t="s">
        <v>40</v>
      </c>
      <c r="J261" t="s">
        <v>66</v>
      </c>
      <c r="K261" t="s">
        <v>74</v>
      </c>
      <c r="L261" t="s">
        <v>203</v>
      </c>
      <c r="M261" t="s">
        <v>236</v>
      </c>
    </row>
    <row r="262" spans="1:13" hidden="1" x14ac:dyDescent="0.2">
      <c r="A262">
        <v>2</v>
      </c>
      <c r="C262" t="s">
        <v>224</v>
      </c>
      <c r="D262">
        <v>10</v>
      </c>
      <c r="E262" t="s">
        <v>225</v>
      </c>
      <c r="F262" s="21">
        <v>37350</v>
      </c>
      <c r="G262">
        <v>36</v>
      </c>
      <c r="H262" t="s">
        <v>292</v>
      </c>
      <c r="I262" t="s">
        <v>200</v>
      </c>
      <c r="J262" t="s">
        <v>66</v>
      </c>
      <c r="K262" t="s">
        <v>75</v>
      </c>
      <c r="L262" t="s">
        <v>204</v>
      </c>
      <c r="M262" t="s">
        <v>239</v>
      </c>
    </row>
    <row r="263" spans="1:13" hidden="1" x14ac:dyDescent="0.2">
      <c r="A263">
        <v>2</v>
      </c>
      <c r="C263" t="s">
        <v>224</v>
      </c>
      <c r="D263">
        <v>10</v>
      </c>
      <c r="E263" t="s">
        <v>225</v>
      </c>
      <c r="F263" s="21">
        <v>37350</v>
      </c>
      <c r="G263">
        <v>36</v>
      </c>
      <c r="H263" t="s">
        <v>292</v>
      </c>
      <c r="I263" t="s">
        <v>6</v>
      </c>
      <c r="J263" t="s">
        <v>66</v>
      </c>
      <c r="K263" t="s">
        <v>75</v>
      </c>
      <c r="L263" t="s">
        <v>204</v>
      </c>
      <c r="M263" t="s">
        <v>231</v>
      </c>
    </row>
    <row r="264" spans="1:13" hidden="1" x14ac:dyDescent="0.2">
      <c r="A264">
        <v>2</v>
      </c>
      <c r="C264" t="s">
        <v>224</v>
      </c>
      <c r="D264">
        <v>10</v>
      </c>
      <c r="E264" t="s">
        <v>225</v>
      </c>
      <c r="F264" s="21">
        <v>37350</v>
      </c>
      <c r="G264">
        <v>37</v>
      </c>
      <c r="H264" t="s">
        <v>285</v>
      </c>
      <c r="I264" t="s">
        <v>199</v>
      </c>
      <c r="J264" t="s">
        <v>68</v>
      </c>
      <c r="K264" t="s">
        <v>75</v>
      </c>
    </row>
    <row r="265" spans="1:13" hidden="1" x14ac:dyDescent="0.2">
      <c r="A265">
        <v>2</v>
      </c>
      <c r="C265" t="s">
        <v>224</v>
      </c>
      <c r="D265">
        <v>10</v>
      </c>
      <c r="E265" t="s">
        <v>225</v>
      </c>
      <c r="F265" s="21">
        <v>37350</v>
      </c>
      <c r="G265">
        <v>38</v>
      </c>
      <c r="H265" t="s">
        <v>284</v>
      </c>
      <c r="I265" t="s">
        <v>199</v>
      </c>
      <c r="J265" t="s">
        <v>71</v>
      </c>
      <c r="K265" t="s">
        <v>74</v>
      </c>
      <c r="M265" t="s">
        <v>240</v>
      </c>
    </row>
    <row r="266" spans="1:13" hidden="1" x14ac:dyDescent="0.2">
      <c r="A266">
        <v>2</v>
      </c>
      <c r="C266" t="s">
        <v>224</v>
      </c>
      <c r="D266">
        <v>10</v>
      </c>
      <c r="E266" t="s">
        <v>225</v>
      </c>
      <c r="F266" s="21">
        <v>37350</v>
      </c>
      <c r="G266">
        <v>39</v>
      </c>
      <c r="H266" t="s">
        <v>295</v>
      </c>
      <c r="I266" t="s">
        <v>14</v>
      </c>
      <c r="J266" t="s">
        <v>64</v>
      </c>
      <c r="K266" t="s">
        <v>69</v>
      </c>
    </row>
    <row r="267" spans="1:13" hidden="1" x14ac:dyDescent="0.2">
      <c r="A267">
        <v>2</v>
      </c>
      <c r="C267" t="s">
        <v>224</v>
      </c>
      <c r="D267">
        <v>10</v>
      </c>
      <c r="E267" t="s">
        <v>225</v>
      </c>
      <c r="F267" s="21">
        <v>37350</v>
      </c>
      <c r="G267">
        <v>41</v>
      </c>
      <c r="H267" t="s">
        <v>286</v>
      </c>
      <c r="I267" t="s">
        <v>6</v>
      </c>
      <c r="J267" t="s">
        <v>66</v>
      </c>
      <c r="K267" t="s">
        <v>73</v>
      </c>
    </row>
    <row r="268" spans="1:13" hidden="1" x14ac:dyDescent="0.2">
      <c r="A268">
        <v>2</v>
      </c>
      <c r="C268" t="s">
        <v>224</v>
      </c>
      <c r="D268">
        <v>10</v>
      </c>
      <c r="E268" t="s">
        <v>225</v>
      </c>
      <c r="F268" s="21">
        <v>37350</v>
      </c>
      <c r="G268">
        <v>41</v>
      </c>
      <c r="H268" t="s">
        <v>280</v>
      </c>
      <c r="I268" t="s">
        <v>199</v>
      </c>
      <c r="J268" t="s">
        <v>71</v>
      </c>
      <c r="K268" t="s">
        <v>67</v>
      </c>
    </row>
    <row r="269" spans="1:13" hidden="1" x14ac:dyDescent="0.2">
      <c r="A269">
        <v>2</v>
      </c>
      <c r="C269" t="s">
        <v>224</v>
      </c>
      <c r="D269">
        <v>10</v>
      </c>
      <c r="E269" t="s">
        <v>225</v>
      </c>
      <c r="F269" s="21">
        <v>37350</v>
      </c>
      <c r="G269">
        <v>44</v>
      </c>
      <c r="H269" t="s">
        <v>293</v>
      </c>
      <c r="I269" t="s">
        <v>12</v>
      </c>
      <c r="J269" t="s">
        <v>71</v>
      </c>
      <c r="K269" t="s">
        <v>73</v>
      </c>
      <c r="M269" t="s">
        <v>231</v>
      </c>
    </row>
    <row r="270" spans="1:13" hidden="1" x14ac:dyDescent="0.2">
      <c r="A270">
        <v>2</v>
      </c>
      <c r="C270" t="s">
        <v>224</v>
      </c>
      <c r="D270">
        <v>10</v>
      </c>
      <c r="E270" t="s">
        <v>225</v>
      </c>
      <c r="F270" s="21">
        <v>37350</v>
      </c>
      <c r="G270">
        <v>44</v>
      </c>
      <c r="H270" t="s">
        <v>293</v>
      </c>
      <c r="I270" t="s">
        <v>9</v>
      </c>
      <c r="J270" t="s">
        <v>66</v>
      </c>
      <c r="K270" t="s">
        <v>70</v>
      </c>
      <c r="M270" t="s">
        <v>232</v>
      </c>
    </row>
    <row r="271" spans="1:13" hidden="1" x14ac:dyDescent="0.2">
      <c r="A271">
        <v>2</v>
      </c>
      <c r="C271" t="s">
        <v>224</v>
      </c>
      <c r="D271">
        <v>10</v>
      </c>
      <c r="E271" t="s">
        <v>225</v>
      </c>
      <c r="F271" s="21">
        <v>37350</v>
      </c>
      <c r="G271">
        <v>45</v>
      </c>
      <c r="H271" t="s">
        <v>280</v>
      </c>
      <c r="I271" t="s">
        <v>200</v>
      </c>
      <c r="J271" t="s">
        <v>71</v>
      </c>
      <c r="K271" t="s">
        <v>75</v>
      </c>
    </row>
    <row r="272" spans="1:13" hidden="1" x14ac:dyDescent="0.2">
      <c r="A272">
        <v>2</v>
      </c>
      <c r="C272" t="s">
        <v>224</v>
      </c>
      <c r="D272">
        <v>10</v>
      </c>
      <c r="E272" t="s">
        <v>225</v>
      </c>
      <c r="F272" s="21">
        <v>37350</v>
      </c>
      <c r="G272">
        <v>46</v>
      </c>
      <c r="H272" t="s">
        <v>295</v>
      </c>
      <c r="I272" t="s">
        <v>6</v>
      </c>
      <c r="J272" t="s">
        <v>66</v>
      </c>
      <c r="K272" t="s">
        <v>65</v>
      </c>
    </row>
    <row r="273" spans="1:13" hidden="1" x14ac:dyDescent="0.2">
      <c r="A273">
        <v>2</v>
      </c>
      <c r="C273" t="s">
        <v>224</v>
      </c>
      <c r="D273">
        <v>10</v>
      </c>
      <c r="E273" t="s">
        <v>225</v>
      </c>
      <c r="F273" s="21">
        <v>37350</v>
      </c>
      <c r="G273">
        <v>47</v>
      </c>
      <c r="H273" t="s">
        <v>285</v>
      </c>
      <c r="I273" t="s">
        <v>199</v>
      </c>
      <c r="J273" t="s">
        <v>71</v>
      </c>
      <c r="K273" t="s">
        <v>69</v>
      </c>
      <c r="M273" t="s">
        <v>241</v>
      </c>
    </row>
    <row r="274" spans="1:13" hidden="1" x14ac:dyDescent="0.2">
      <c r="A274">
        <v>2</v>
      </c>
      <c r="C274" t="s">
        <v>224</v>
      </c>
      <c r="D274">
        <v>10</v>
      </c>
      <c r="E274" t="s">
        <v>225</v>
      </c>
      <c r="F274" s="21">
        <v>37350</v>
      </c>
      <c r="G274">
        <v>48</v>
      </c>
      <c r="H274" t="s">
        <v>285</v>
      </c>
      <c r="I274" t="s">
        <v>16</v>
      </c>
      <c r="J274" t="s">
        <v>66</v>
      </c>
      <c r="K274" t="s">
        <v>69</v>
      </c>
    </row>
    <row r="275" spans="1:13" hidden="1" x14ac:dyDescent="0.2">
      <c r="A275">
        <v>2</v>
      </c>
      <c r="C275" t="s">
        <v>224</v>
      </c>
      <c r="D275">
        <v>10</v>
      </c>
      <c r="E275" t="s">
        <v>225</v>
      </c>
      <c r="F275" s="21">
        <v>37350</v>
      </c>
      <c r="H275" t="s">
        <v>286</v>
      </c>
      <c r="I275" t="s">
        <v>200</v>
      </c>
      <c r="J275" t="s">
        <v>66</v>
      </c>
      <c r="K275" t="s">
        <v>73</v>
      </c>
    </row>
    <row r="276" spans="1:13" hidden="1" x14ac:dyDescent="0.2">
      <c r="A276">
        <v>2</v>
      </c>
      <c r="C276" t="s">
        <v>224</v>
      </c>
      <c r="D276">
        <v>10</v>
      </c>
      <c r="E276" t="s">
        <v>225</v>
      </c>
      <c r="F276" s="21">
        <v>37350</v>
      </c>
      <c r="H276" t="s">
        <v>292</v>
      </c>
      <c r="I276" t="s">
        <v>12</v>
      </c>
      <c r="J276" t="s">
        <v>66</v>
      </c>
      <c r="M276" t="s">
        <v>231</v>
      </c>
    </row>
    <row r="277" spans="1:13" hidden="1" x14ac:dyDescent="0.2">
      <c r="A277">
        <v>3</v>
      </c>
      <c r="C277" t="s">
        <v>252</v>
      </c>
      <c r="D277">
        <v>11</v>
      </c>
      <c r="E277" t="s">
        <v>253</v>
      </c>
      <c r="F277" s="21">
        <v>37350</v>
      </c>
      <c r="G277" s="22">
        <v>45658</v>
      </c>
      <c r="H277" t="s">
        <v>279</v>
      </c>
      <c r="I277" t="s">
        <v>6</v>
      </c>
      <c r="J277" t="s">
        <v>66</v>
      </c>
      <c r="K277" t="s">
        <v>73</v>
      </c>
      <c r="L277" t="s">
        <v>203</v>
      </c>
    </row>
    <row r="278" spans="1:13" hidden="1" x14ac:dyDescent="0.2">
      <c r="A278">
        <v>3</v>
      </c>
      <c r="C278" t="s">
        <v>252</v>
      </c>
      <c r="D278">
        <v>11</v>
      </c>
      <c r="E278" t="s">
        <v>253</v>
      </c>
      <c r="F278" s="21">
        <v>37350</v>
      </c>
      <c r="G278" s="22">
        <v>45658</v>
      </c>
      <c r="H278" t="s">
        <v>294</v>
      </c>
      <c r="I278" t="s">
        <v>6</v>
      </c>
      <c r="J278" t="s">
        <v>66</v>
      </c>
      <c r="K278" t="s">
        <v>74</v>
      </c>
      <c r="L278" t="s">
        <v>203</v>
      </c>
    </row>
    <row r="279" spans="1:13" hidden="1" x14ac:dyDescent="0.2">
      <c r="A279">
        <v>3</v>
      </c>
      <c r="C279" t="s">
        <v>252</v>
      </c>
      <c r="D279">
        <v>11</v>
      </c>
      <c r="E279" t="s">
        <v>253</v>
      </c>
      <c r="F279" s="21">
        <v>37350</v>
      </c>
      <c r="G279" s="22">
        <v>45658</v>
      </c>
      <c r="H279" t="s">
        <v>282</v>
      </c>
      <c r="I279" t="s">
        <v>6</v>
      </c>
      <c r="J279" t="s">
        <v>66</v>
      </c>
      <c r="K279" t="s">
        <v>73</v>
      </c>
      <c r="L279" t="s">
        <v>203</v>
      </c>
    </row>
    <row r="280" spans="1:13" hidden="1" x14ac:dyDescent="0.2">
      <c r="A280">
        <v>3</v>
      </c>
      <c r="C280" t="s">
        <v>252</v>
      </c>
      <c r="D280">
        <v>11</v>
      </c>
      <c r="E280" t="s">
        <v>253</v>
      </c>
      <c r="F280" s="21">
        <v>37350</v>
      </c>
      <c r="G280" s="22">
        <v>45658</v>
      </c>
      <c r="H280" t="s">
        <v>282</v>
      </c>
      <c r="I280" t="s">
        <v>6</v>
      </c>
      <c r="J280" t="s">
        <v>66</v>
      </c>
      <c r="K280" t="s">
        <v>73</v>
      </c>
      <c r="L280" t="s">
        <v>203</v>
      </c>
    </row>
    <row r="281" spans="1:13" hidden="1" x14ac:dyDescent="0.2">
      <c r="A281">
        <v>3</v>
      </c>
      <c r="C281" t="s">
        <v>252</v>
      </c>
      <c r="D281">
        <v>11</v>
      </c>
      <c r="E281" t="s">
        <v>253</v>
      </c>
      <c r="F281" s="21">
        <v>37350</v>
      </c>
      <c r="G281" s="22">
        <v>45658</v>
      </c>
      <c r="H281" t="s">
        <v>295</v>
      </c>
      <c r="I281" t="s">
        <v>36</v>
      </c>
      <c r="J281" t="s">
        <v>66</v>
      </c>
      <c r="K281" t="s">
        <v>72</v>
      </c>
      <c r="L281" t="s">
        <v>203</v>
      </c>
    </row>
    <row r="282" spans="1:13" hidden="1" x14ac:dyDescent="0.2">
      <c r="A282">
        <v>3</v>
      </c>
      <c r="C282" t="s">
        <v>252</v>
      </c>
      <c r="D282">
        <v>11</v>
      </c>
      <c r="E282" t="s">
        <v>253</v>
      </c>
      <c r="F282" s="21">
        <v>37350</v>
      </c>
      <c r="G282" s="22">
        <v>45658</v>
      </c>
      <c r="H282" t="s">
        <v>282</v>
      </c>
      <c r="I282" t="s">
        <v>6</v>
      </c>
      <c r="J282" t="s">
        <v>66</v>
      </c>
      <c r="K282" t="s">
        <v>74</v>
      </c>
      <c r="L282" t="s">
        <v>203</v>
      </c>
    </row>
    <row r="283" spans="1:13" hidden="1" x14ac:dyDescent="0.2">
      <c r="A283">
        <v>3</v>
      </c>
      <c r="C283" t="s">
        <v>252</v>
      </c>
      <c r="D283">
        <v>11</v>
      </c>
      <c r="E283" t="s">
        <v>253</v>
      </c>
      <c r="F283" s="21">
        <v>37350</v>
      </c>
      <c r="G283" s="22">
        <v>45658</v>
      </c>
      <c r="H283" t="s">
        <v>281</v>
      </c>
      <c r="I283" t="s">
        <v>30</v>
      </c>
      <c r="J283" t="s">
        <v>71</v>
      </c>
      <c r="K283" t="s">
        <v>73</v>
      </c>
      <c r="L283" t="s">
        <v>203</v>
      </c>
    </row>
    <row r="284" spans="1:13" hidden="1" x14ac:dyDescent="0.2">
      <c r="A284">
        <v>3</v>
      </c>
      <c r="C284" t="s">
        <v>252</v>
      </c>
      <c r="D284">
        <v>11</v>
      </c>
      <c r="E284" t="s">
        <v>253</v>
      </c>
      <c r="F284" s="21">
        <v>37350</v>
      </c>
      <c r="G284" s="22">
        <v>45658</v>
      </c>
      <c r="H284" t="s">
        <v>286</v>
      </c>
      <c r="I284" t="s">
        <v>200</v>
      </c>
      <c r="J284" t="s">
        <v>68</v>
      </c>
      <c r="K284" t="s">
        <v>73</v>
      </c>
      <c r="L284" t="s">
        <v>203</v>
      </c>
    </row>
    <row r="285" spans="1:13" hidden="1" x14ac:dyDescent="0.2">
      <c r="A285">
        <v>3</v>
      </c>
      <c r="C285" t="s">
        <v>252</v>
      </c>
      <c r="D285">
        <v>11</v>
      </c>
      <c r="E285" t="s">
        <v>253</v>
      </c>
      <c r="F285" s="21">
        <v>37350</v>
      </c>
      <c r="G285" s="22">
        <v>45658</v>
      </c>
      <c r="H285" t="s">
        <v>292</v>
      </c>
      <c r="I285" t="s">
        <v>38</v>
      </c>
      <c r="J285" t="s">
        <v>66</v>
      </c>
      <c r="K285" t="s">
        <v>73</v>
      </c>
      <c r="L285" t="s">
        <v>203</v>
      </c>
    </row>
    <row r="286" spans="1:13" hidden="1" x14ac:dyDescent="0.2">
      <c r="A286">
        <v>3</v>
      </c>
      <c r="C286" t="s">
        <v>252</v>
      </c>
      <c r="D286">
        <v>11</v>
      </c>
      <c r="E286" t="s">
        <v>253</v>
      </c>
      <c r="F286" s="21">
        <v>37350</v>
      </c>
      <c r="G286" s="22">
        <v>45658</v>
      </c>
      <c r="H286" t="s">
        <v>292</v>
      </c>
      <c r="I286" t="s">
        <v>200</v>
      </c>
      <c r="J286" t="s">
        <v>68</v>
      </c>
      <c r="K286" t="s">
        <v>73</v>
      </c>
      <c r="L286" t="s">
        <v>203</v>
      </c>
    </row>
    <row r="287" spans="1:13" hidden="1" x14ac:dyDescent="0.2">
      <c r="A287">
        <v>3</v>
      </c>
      <c r="C287" t="s">
        <v>252</v>
      </c>
      <c r="D287">
        <v>11</v>
      </c>
      <c r="E287" t="s">
        <v>253</v>
      </c>
      <c r="F287" s="21">
        <v>37350</v>
      </c>
      <c r="G287" s="22">
        <v>45658</v>
      </c>
      <c r="H287" t="s">
        <v>294</v>
      </c>
      <c r="I287" t="s">
        <v>6</v>
      </c>
      <c r="J287" t="s">
        <v>64</v>
      </c>
      <c r="K287" t="s">
        <v>73</v>
      </c>
      <c r="L287" t="s">
        <v>203</v>
      </c>
    </row>
    <row r="288" spans="1:13" hidden="1" x14ac:dyDescent="0.2">
      <c r="A288">
        <v>3</v>
      </c>
      <c r="C288" t="s">
        <v>252</v>
      </c>
      <c r="D288">
        <v>11</v>
      </c>
      <c r="E288" t="s">
        <v>253</v>
      </c>
      <c r="F288" s="21">
        <v>37350</v>
      </c>
      <c r="G288" s="22">
        <v>45658</v>
      </c>
      <c r="H288" t="s">
        <v>293</v>
      </c>
      <c r="I288" t="s">
        <v>200</v>
      </c>
      <c r="J288" t="s">
        <v>68</v>
      </c>
      <c r="K288" t="s">
        <v>73</v>
      </c>
      <c r="L288" t="s">
        <v>203</v>
      </c>
    </row>
    <row r="289" spans="1:13" hidden="1" x14ac:dyDescent="0.2">
      <c r="A289">
        <v>3</v>
      </c>
      <c r="C289" t="s">
        <v>252</v>
      </c>
      <c r="D289">
        <v>11</v>
      </c>
      <c r="E289" t="s">
        <v>253</v>
      </c>
      <c r="F289" s="21">
        <v>37350</v>
      </c>
      <c r="G289">
        <v>45658</v>
      </c>
      <c r="H289" t="s">
        <v>280</v>
      </c>
      <c r="I289" t="s">
        <v>200</v>
      </c>
      <c r="J289" t="s">
        <v>71</v>
      </c>
      <c r="K289" t="s">
        <v>67</v>
      </c>
      <c r="L289" t="s">
        <v>202</v>
      </c>
    </row>
    <row r="290" spans="1:13" hidden="1" x14ac:dyDescent="0.2">
      <c r="A290">
        <v>3</v>
      </c>
      <c r="C290" t="s">
        <v>252</v>
      </c>
      <c r="D290">
        <v>11</v>
      </c>
      <c r="E290" t="s">
        <v>253</v>
      </c>
      <c r="F290" s="21">
        <v>37350</v>
      </c>
      <c r="G290" s="22">
        <v>45658</v>
      </c>
      <c r="H290" t="s">
        <v>293</v>
      </c>
      <c r="I290" t="s">
        <v>40</v>
      </c>
      <c r="J290" t="s">
        <v>66</v>
      </c>
      <c r="K290" t="s">
        <v>67</v>
      </c>
      <c r="L290" t="s">
        <v>202</v>
      </c>
    </row>
    <row r="291" spans="1:13" hidden="1" x14ac:dyDescent="0.2">
      <c r="A291">
        <v>3</v>
      </c>
      <c r="C291" t="s">
        <v>252</v>
      </c>
      <c r="D291">
        <v>11</v>
      </c>
      <c r="E291" t="s">
        <v>253</v>
      </c>
      <c r="F291" s="21">
        <v>37350</v>
      </c>
      <c r="G291" s="22">
        <v>45658</v>
      </c>
      <c r="H291" t="s">
        <v>294</v>
      </c>
      <c r="I291" t="s">
        <v>6</v>
      </c>
      <c r="J291" t="s">
        <v>66</v>
      </c>
      <c r="K291" t="s">
        <v>67</v>
      </c>
      <c r="L291" t="s">
        <v>202</v>
      </c>
    </row>
    <row r="292" spans="1:13" hidden="1" x14ac:dyDescent="0.2">
      <c r="A292">
        <v>3</v>
      </c>
      <c r="C292" t="s">
        <v>252</v>
      </c>
      <c r="D292">
        <v>11</v>
      </c>
      <c r="E292" t="s">
        <v>253</v>
      </c>
      <c r="F292" s="21">
        <v>37350</v>
      </c>
      <c r="G292">
        <v>45658</v>
      </c>
      <c r="H292" t="s">
        <v>280</v>
      </c>
      <c r="I292" t="s">
        <v>12</v>
      </c>
      <c r="J292" t="s">
        <v>64</v>
      </c>
      <c r="K292" t="s">
        <v>75</v>
      </c>
      <c r="L292" t="s">
        <v>204</v>
      </c>
    </row>
    <row r="293" spans="1:13" hidden="1" x14ac:dyDescent="0.2">
      <c r="A293">
        <v>3</v>
      </c>
      <c r="C293" t="s">
        <v>252</v>
      </c>
      <c r="D293">
        <v>11</v>
      </c>
      <c r="E293" t="s">
        <v>253</v>
      </c>
      <c r="F293" s="21">
        <v>37350</v>
      </c>
      <c r="G293" s="22">
        <v>45658</v>
      </c>
      <c r="H293" t="s">
        <v>295</v>
      </c>
      <c r="I293" t="s">
        <v>40</v>
      </c>
      <c r="J293" t="s">
        <v>66</v>
      </c>
      <c r="K293" t="s">
        <v>74</v>
      </c>
      <c r="L293" t="s">
        <v>203</v>
      </c>
      <c r="M293" t="s">
        <v>230</v>
      </c>
    </row>
    <row r="294" spans="1:13" hidden="1" x14ac:dyDescent="0.2">
      <c r="A294">
        <v>3</v>
      </c>
      <c r="C294" t="s">
        <v>252</v>
      </c>
      <c r="D294">
        <v>11</v>
      </c>
      <c r="E294" t="s">
        <v>253</v>
      </c>
      <c r="F294" s="21">
        <v>37350</v>
      </c>
      <c r="G294" s="22">
        <v>45658</v>
      </c>
      <c r="H294" t="s">
        <v>285</v>
      </c>
      <c r="I294" t="s">
        <v>200</v>
      </c>
      <c r="J294" t="s">
        <v>71</v>
      </c>
      <c r="K294" t="s">
        <v>69</v>
      </c>
      <c r="L294" t="s">
        <v>204</v>
      </c>
    </row>
    <row r="295" spans="1:13" hidden="1" x14ac:dyDescent="0.2">
      <c r="A295">
        <v>3</v>
      </c>
      <c r="C295" t="s">
        <v>252</v>
      </c>
      <c r="D295">
        <v>11</v>
      </c>
      <c r="E295" t="s">
        <v>253</v>
      </c>
      <c r="F295" s="21">
        <v>37350</v>
      </c>
      <c r="G295" s="22">
        <v>45658</v>
      </c>
      <c r="H295" t="s">
        <v>281</v>
      </c>
      <c r="I295" t="s">
        <v>200</v>
      </c>
      <c r="J295" t="s">
        <v>71</v>
      </c>
      <c r="K295" t="s">
        <v>73</v>
      </c>
      <c r="L295" t="s">
        <v>203</v>
      </c>
    </row>
    <row r="296" spans="1:13" hidden="1" x14ac:dyDescent="0.2">
      <c r="A296">
        <v>3</v>
      </c>
      <c r="C296" t="s">
        <v>252</v>
      </c>
      <c r="D296">
        <v>11</v>
      </c>
      <c r="E296" t="s">
        <v>253</v>
      </c>
      <c r="F296" s="21">
        <v>37350</v>
      </c>
      <c r="G296" s="22">
        <v>45658</v>
      </c>
      <c r="H296" t="s">
        <v>294</v>
      </c>
      <c r="I296" t="s">
        <v>38</v>
      </c>
      <c r="J296" t="s">
        <v>66</v>
      </c>
      <c r="K296" t="s">
        <v>73</v>
      </c>
      <c r="L296" t="s">
        <v>203</v>
      </c>
    </row>
    <row r="297" spans="1:13" hidden="1" x14ac:dyDescent="0.2">
      <c r="A297">
        <v>3</v>
      </c>
      <c r="C297" t="s">
        <v>252</v>
      </c>
      <c r="D297">
        <v>11</v>
      </c>
      <c r="E297" t="s">
        <v>253</v>
      </c>
      <c r="F297" s="21">
        <v>37350</v>
      </c>
      <c r="G297" s="22">
        <v>45658</v>
      </c>
      <c r="H297" t="s">
        <v>286</v>
      </c>
      <c r="I297" t="s">
        <v>30</v>
      </c>
      <c r="J297" t="s">
        <v>64</v>
      </c>
      <c r="K297" t="s">
        <v>72</v>
      </c>
      <c r="L297" t="s">
        <v>203</v>
      </c>
    </row>
    <row r="298" spans="1:13" hidden="1" x14ac:dyDescent="0.2">
      <c r="A298">
        <v>3</v>
      </c>
      <c r="C298" t="s">
        <v>252</v>
      </c>
      <c r="D298">
        <v>11</v>
      </c>
      <c r="E298" t="s">
        <v>253</v>
      </c>
      <c r="F298" s="21">
        <v>37350</v>
      </c>
      <c r="G298" s="22">
        <v>45658</v>
      </c>
      <c r="H298" t="s">
        <v>293</v>
      </c>
      <c r="I298" t="s">
        <v>6</v>
      </c>
      <c r="J298" t="s">
        <v>66</v>
      </c>
      <c r="K298" t="s">
        <v>73</v>
      </c>
      <c r="L298" t="s">
        <v>203</v>
      </c>
    </row>
    <row r="299" spans="1:13" hidden="1" x14ac:dyDescent="0.2">
      <c r="A299">
        <v>3</v>
      </c>
      <c r="C299" t="s">
        <v>252</v>
      </c>
      <c r="D299">
        <v>11</v>
      </c>
      <c r="E299" t="s">
        <v>253</v>
      </c>
      <c r="F299" s="21">
        <v>37350</v>
      </c>
      <c r="G299" s="22">
        <v>45658</v>
      </c>
      <c r="H299" t="s">
        <v>286</v>
      </c>
      <c r="I299" t="s">
        <v>6</v>
      </c>
      <c r="J299" t="s">
        <v>66</v>
      </c>
      <c r="K299" t="s">
        <v>74</v>
      </c>
      <c r="L299" t="s">
        <v>203</v>
      </c>
    </row>
    <row r="300" spans="1:13" hidden="1" x14ac:dyDescent="0.2">
      <c r="A300">
        <v>3</v>
      </c>
      <c r="C300" t="s">
        <v>252</v>
      </c>
      <c r="D300">
        <v>11</v>
      </c>
      <c r="E300" t="s">
        <v>253</v>
      </c>
      <c r="F300" s="21">
        <v>37350</v>
      </c>
      <c r="G300" s="22">
        <v>45658</v>
      </c>
      <c r="H300" t="s">
        <v>295</v>
      </c>
      <c r="I300" t="s">
        <v>38</v>
      </c>
      <c r="J300" t="s">
        <v>66</v>
      </c>
      <c r="K300" t="s">
        <v>72</v>
      </c>
      <c r="L300" t="s">
        <v>202</v>
      </c>
    </row>
    <row r="301" spans="1:13" hidden="1" x14ac:dyDescent="0.2">
      <c r="A301">
        <v>3</v>
      </c>
      <c r="C301" t="s">
        <v>252</v>
      </c>
      <c r="D301">
        <v>11</v>
      </c>
      <c r="E301" t="s">
        <v>253</v>
      </c>
      <c r="F301" s="21">
        <v>37350</v>
      </c>
      <c r="G301" s="22">
        <v>45658</v>
      </c>
      <c r="H301" t="s">
        <v>282</v>
      </c>
      <c r="I301" t="s">
        <v>200</v>
      </c>
      <c r="J301" t="s">
        <v>71</v>
      </c>
      <c r="K301" t="s">
        <v>74</v>
      </c>
      <c r="L301" t="s">
        <v>202</v>
      </c>
    </row>
    <row r="302" spans="1:13" hidden="1" x14ac:dyDescent="0.2">
      <c r="A302">
        <v>3</v>
      </c>
      <c r="C302" t="s">
        <v>252</v>
      </c>
      <c r="D302">
        <v>11</v>
      </c>
      <c r="E302" t="s">
        <v>253</v>
      </c>
      <c r="F302" s="21">
        <v>37350</v>
      </c>
      <c r="G302" s="22">
        <v>45658</v>
      </c>
      <c r="H302" t="s">
        <v>293</v>
      </c>
      <c r="I302" t="s">
        <v>30</v>
      </c>
      <c r="J302" t="s">
        <v>66</v>
      </c>
      <c r="K302" t="s">
        <v>74</v>
      </c>
      <c r="L302" t="s">
        <v>202</v>
      </c>
    </row>
    <row r="303" spans="1:13" hidden="1" x14ac:dyDescent="0.2">
      <c r="A303">
        <v>3</v>
      </c>
      <c r="C303" t="s">
        <v>252</v>
      </c>
      <c r="D303">
        <v>11</v>
      </c>
      <c r="E303" t="s">
        <v>253</v>
      </c>
      <c r="F303" s="21">
        <v>37350</v>
      </c>
      <c r="G303" s="22">
        <v>45658</v>
      </c>
      <c r="H303" t="s">
        <v>292</v>
      </c>
      <c r="J303" t="s">
        <v>66</v>
      </c>
      <c r="K303" t="s">
        <v>73</v>
      </c>
      <c r="L303" t="s">
        <v>203</v>
      </c>
      <c r="M303" t="s">
        <v>260</v>
      </c>
    </row>
    <row r="304" spans="1:13" hidden="1" x14ac:dyDescent="0.2">
      <c r="A304">
        <v>3</v>
      </c>
      <c r="C304" t="s">
        <v>252</v>
      </c>
      <c r="D304">
        <v>11</v>
      </c>
      <c r="E304" t="s">
        <v>253</v>
      </c>
      <c r="F304" s="21">
        <v>37350</v>
      </c>
      <c r="G304" s="22">
        <v>45658</v>
      </c>
      <c r="H304" t="s">
        <v>292</v>
      </c>
      <c r="I304" t="s">
        <v>40</v>
      </c>
      <c r="J304" t="s">
        <v>66</v>
      </c>
      <c r="K304" t="s">
        <v>73</v>
      </c>
      <c r="L304" t="s">
        <v>203</v>
      </c>
    </row>
    <row r="305" spans="1:13" hidden="1" x14ac:dyDescent="0.2">
      <c r="A305">
        <v>3</v>
      </c>
      <c r="C305" t="s">
        <v>252</v>
      </c>
      <c r="D305">
        <v>11</v>
      </c>
      <c r="E305" t="s">
        <v>253</v>
      </c>
      <c r="F305" s="21">
        <v>37350</v>
      </c>
      <c r="G305" s="22">
        <v>45658</v>
      </c>
      <c r="H305" t="s">
        <v>293</v>
      </c>
      <c r="I305" t="s">
        <v>261</v>
      </c>
      <c r="L305" t="s">
        <v>204</v>
      </c>
      <c r="M305">
        <v>3</v>
      </c>
    </row>
    <row r="306" spans="1:13" hidden="1" x14ac:dyDescent="0.2">
      <c r="A306">
        <v>3</v>
      </c>
      <c r="C306" t="s">
        <v>252</v>
      </c>
      <c r="D306">
        <v>11</v>
      </c>
      <c r="E306" t="s">
        <v>253</v>
      </c>
      <c r="F306" s="21">
        <v>37350</v>
      </c>
      <c r="G306" s="22">
        <v>45658</v>
      </c>
      <c r="H306" t="s">
        <v>281</v>
      </c>
      <c r="I306" t="s">
        <v>30</v>
      </c>
      <c r="K306" t="s">
        <v>75</v>
      </c>
      <c r="L306" t="s">
        <v>203</v>
      </c>
    </row>
    <row r="307" spans="1:13" hidden="1" x14ac:dyDescent="0.2">
      <c r="A307">
        <v>3</v>
      </c>
      <c r="C307" t="s">
        <v>252</v>
      </c>
      <c r="D307">
        <v>11</v>
      </c>
      <c r="E307" t="s">
        <v>253</v>
      </c>
      <c r="F307" s="21">
        <v>37350</v>
      </c>
      <c r="G307" s="22">
        <v>45658</v>
      </c>
      <c r="H307" t="s">
        <v>295</v>
      </c>
      <c r="I307" t="s">
        <v>32</v>
      </c>
      <c r="J307" t="s">
        <v>66</v>
      </c>
      <c r="K307" t="s">
        <v>72</v>
      </c>
      <c r="L307" t="s">
        <v>202</v>
      </c>
    </row>
    <row r="308" spans="1:13" hidden="1" x14ac:dyDescent="0.2">
      <c r="A308">
        <v>3</v>
      </c>
      <c r="C308" t="s">
        <v>252</v>
      </c>
      <c r="D308">
        <v>11</v>
      </c>
      <c r="E308" t="s">
        <v>253</v>
      </c>
      <c r="F308" s="21">
        <v>37350</v>
      </c>
      <c r="G308" s="22">
        <v>45658</v>
      </c>
      <c r="H308" t="s">
        <v>282</v>
      </c>
      <c r="I308" t="s">
        <v>6</v>
      </c>
      <c r="J308" t="s">
        <v>66</v>
      </c>
      <c r="K308" t="s">
        <v>74</v>
      </c>
      <c r="L308" t="s">
        <v>203</v>
      </c>
    </row>
    <row r="309" spans="1:13" hidden="1" x14ac:dyDescent="0.2">
      <c r="A309">
        <v>3</v>
      </c>
      <c r="C309" t="s">
        <v>252</v>
      </c>
      <c r="D309">
        <v>11</v>
      </c>
      <c r="E309" t="s">
        <v>253</v>
      </c>
      <c r="F309" s="21">
        <v>37350</v>
      </c>
      <c r="G309" s="22">
        <v>45658</v>
      </c>
      <c r="H309" t="s">
        <v>279</v>
      </c>
      <c r="I309" t="s">
        <v>9</v>
      </c>
      <c r="J309" t="s">
        <v>66</v>
      </c>
      <c r="K309" t="s">
        <v>75</v>
      </c>
      <c r="L309" t="s">
        <v>204</v>
      </c>
    </row>
    <row r="310" spans="1:13" hidden="1" x14ac:dyDescent="0.2">
      <c r="A310">
        <v>3</v>
      </c>
      <c r="C310" t="s">
        <v>252</v>
      </c>
      <c r="D310">
        <v>11</v>
      </c>
      <c r="E310" t="s">
        <v>253</v>
      </c>
      <c r="F310" s="21">
        <v>37350</v>
      </c>
      <c r="G310" s="22">
        <v>45658</v>
      </c>
      <c r="H310" t="s">
        <v>285</v>
      </c>
      <c r="I310" t="s">
        <v>40</v>
      </c>
      <c r="J310" t="s">
        <v>66</v>
      </c>
      <c r="K310" t="s">
        <v>78</v>
      </c>
      <c r="L310" t="s">
        <v>204</v>
      </c>
    </row>
    <row r="311" spans="1:13" hidden="1" x14ac:dyDescent="0.2">
      <c r="A311">
        <v>3</v>
      </c>
      <c r="C311" t="s">
        <v>252</v>
      </c>
      <c r="D311">
        <v>11</v>
      </c>
      <c r="E311" t="s">
        <v>253</v>
      </c>
      <c r="F311" s="21">
        <v>37350</v>
      </c>
      <c r="G311" s="22">
        <v>45689</v>
      </c>
      <c r="H311" t="s">
        <v>294</v>
      </c>
      <c r="I311" t="s">
        <v>14</v>
      </c>
      <c r="J311" t="s">
        <v>64</v>
      </c>
      <c r="K311" t="s">
        <v>78</v>
      </c>
      <c r="L311" t="s">
        <v>204</v>
      </c>
    </row>
    <row r="312" spans="1:13" hidden="1" x14ac:dyDescent="0.2">
      <c r="A312">
        <v>3</v>
      </c>
      <c r="C312" t="s">
        <v>252</v>
      </c>
      <c r="D312">
        <v>11</v>
      </c>
      <c r="E312" t="s">
        <v>253</v>
      </c>
      <c r="F312" s="21">
        <v>37350</v>
      </c>
      <c r="G312" s="22">
        <v>45689</v>
      </c>
      <c r="H312" t="s">
        <v>293</v>
      </c>
      <c r="I312" t="s">
        <v>261</v>
      </c>
      <c r="J312" t="s">
        <v>66</v>
      </c>
      <c r="L312" t="s">
        <v>204</v>
      </c>
      <c r="M312" t="s">
        <v>262</v>
      </c>
    </row>
    <row r="313" spans="1:13" hidden="1" x14ac:dyDescent="0.2">
      <c r="A313">
        <v>3</v>
      </c>
      <c r="C313" t="s">
        <v>252</v>
      </c>
      <c r="D313">
        <v>11</v>
      </c>
      <c r="E313" t="s">
        <v>253</v>
      </c>
      <c r="F313" s="21">
        <v>37350</v>
      </c>
      <c r="G313" s="22">
        <v>45659</v>
      </c>
      <c r="H313" t="s">
        <v>279</v>
      </c>
      <c r="I313" t="s">
        <v>12</v>
      </c>
      <c r="J313" t="s">
        <v>66</v>
      </c>
      <c r="K313" t="s">
        <v>75</v>
      </c>
      <c r="L313" t="s">
        <v>204</v>
      </c>
    </row>
    <row r="314" spans="1:13" hidden="1" x14ac:dyDescent="0.2">
      <c r="A314">
        <v>3</v>
      </c>
      <c r="C314" t="s">
        <v>252</v>
      </c>
      <c r="D314">
        <v>11</v>
      </c>
      <c r="E314" t="s">
        <v>253</v>
      </c>
      <c r="F314" s="21">
        <v>37350</v>
      </c>
      <c r="G314" s="22">
        <v>45659</v>
      </c>
      <c r="H314" t="s">
        <v>286</v>
      </c>
      <c r="I314" t="s">
        <v>6</v>
      </c>
      <c r="J314" t="s">
        <v>66</v>
      </c>
      <c r="K314" t="s">
        <v>73</v>
      </c>
      <c r="L314" t="s">
        <v>203</v>
      </c>
    </row>
    <row r="315" spans="1:13" hidden="1" x14ac:dyDescent="0.2">
      <c r="A315">
        <v>3</v>
      </c>
      <c r="C315" t="s">
        <v>252</v>
      </c>
      <c r="D315">
        <v>11</v>
      </c>
      <c r="E315" t="s">
        <v>253</v>
      </c>
      <c r="F315" s="21">
        <v>37350</v>
      </c>
      <c r="G315" s="22">
        <v>45659</v>
      </c>
      <c r="H315" t="s">
        <v>293</v>
      </c>
      <c r="I315" t="s">
        <v>32</v>
      </c>
      <c r="J315" t="s">
        <v>66</v>
      </c>
      <c r="K315" t="s">
        <v>73</v>
      </c>
      <c r="L315" t="s">
        <v>203</v>
      </c>
      <c r="M315" t="s">
        <v>263</v>
      </c>
    </row>
    <row r="316" spans="1:13" hidden="1" x14ac:dyDescent="0.2">
      <c r="A316">
        <v>3</v>
      </c>
      <c r="C316" t="s">
        <v>252</v>
      </c>
      <c r="D316">
        <v>11</v>
      </c>
      <c r="E316" t="s">
        <v>253</v>
      </c>
      <c r="F316" s="21">
        <v>37350</v>
      </c>
      <c r="G316" s="22">
        <v>45659</v>
      </c>
      <c r="H316" t="s">
        <v>292</v>
      </c>
      <c r="I316" t="s">
        <v>40</v>
      </c>
      <c r="J316" t="s">
        <v>66</v>
      </c>
      <c r="K316" t="s">
        <v>75</v>
      </c>
      <c r="L316" t="s">
        <v>204</v>
      </c>
    </row>
    <row r="317" spans="1:13" hidden="1" x14ac:dyDescent="0.2">
      <c r="A317">
        <v>3</v>
      </c>
      <c r="C317" t="s">
        <v>252</v>
      </c>
      <c r="D317">
        <v>11</v>
      </c>
      <c r="E317" t="s">
        <v>253</v>
      </c>
      <c r="F317" s="21">
        <v>37350</v>
      </c>
      <c r="G317" s="22">
        <v>45659</v>
      </c>
      <c r="H317" t="s">
        <v>294</v>
      </c>
      <c r="I317" t="s">
        <v>14</v>
      </c>
      <c r="J317" t="s">
        <v>66</v>
      </c>
      <c r="K317" t="s">
        <v>78</v>
      </c>
      <c r="L317" t="s">
        <v>204</v>
      </c>
    </row>
    <row r="318" spans="1:13" hidden="1" x14ac:dyDescent="0.2">
      <c r="A318">
        <v>3</v>
      </c>
      <c r="C318" t="s">
        <v>252</v>
      </c>
      <c r="D318">
        <v>11</v>
      </c>
      <c r="E318" t="s">
        <v>253</v>
      </c>
      <c r="F318" s="21">
        <v>37350</v>
      </c>
      <c r="G318" s="22">
        <v>45659</v>
      </c>
      <c r="H318" t="s">
        <v>281</v>
      </c>
      <c r="I318" t="s">
        <v>30</v>
      </c>
      <c r="J318" t="s">
        <v>66</v>
      </c>
      <c r="K318" t="s">
        <v>72</v>
      </c>
      <c r="L318" t="s">
        <v>202</v>
      </c>
      <c r="M318" t="s">
        <v>264</v>
      </c>
    </row>
    <row r="319" spans="1:13" hidden="1" x14ac:dyDescent="0.2">
      <c r="A319">
        <v>3</v>
      </c>
      <c r="C319" t="s">
        <v>252</v>
      </c>
      <c r="D319">
        <v>11</v>
      </c>
      <c r="E319" t="s">
        <v>253</v>
      </c>
      <c r="F319" s="21">
        <v>37350</v>
      </c>
      <c r="G319" s="22">
        <v>45659</v>
      </c>
      <c r="H319" t="s">
        <v>279</v>
      </c>
      <c r="I319" t="s">
        <v>36</v>
      </c>
      <c r="J319" t="s">
        <v>64</v>
      </c>
      <c r="K319" t="s">
        <v>74</v>
      </c>
      <c r="L319" t="s">
        <v>203</v>
      </c>
    </row>
    <row r="320" spans="1:13" hidden="1" x14ac:dyDescent="0.2">
      <c r="A320">
        <v>3</v>
      </c>
      <c r="C320" t="s">
        <v>252</v>
      </c>
      <c r="D320">
        <v>11</v>
      </c>
      <c r="E320" t="s">
        <v>253</v>
      </c>
      <c r="F320" s="21">
        <v>37350</v>
      </c>
      <c r="G320" s="22">
        <v>45659</v>
      </c>
      <c r="H320" t="s">
        <v>282</v>
      </c>
      <c r="I320" t="s">
        <v>30</v>
      </c>
      <c r="J320" t="s">
        <v>64</v>
      </c>
      <c r="K320" t="s">
        <v>74</v>
      </c>
      <c r="L320" t="s">
        <v>203</v>
      </c>
    </row>
    <row r="321" spans="1:13" hidden="1" x14ac:dyDescent="0.2">
      <c r="A321">
        <v>3</v>
      </c>
      <c r="C321" t="s">
        <v>252</v>
      </c>
      <c r="D321">
        <v>11</v>
      </c>
      <c r="E321" t="s">
        <v>253</v>
      </c>
      <c r="F321" s="21">
        <v>37350</v>
      </c>
      <c r="G321" s="22">
        <v>45659</v>
      </c>
      <c r="H321" t="s">
        <v>292</v>
      </c>
      <c r="I321" t="s">
        <v>6</v>
      </c>
      <c r="J321" t="s">
        <v>66</v>
      </c>
      <c r="K321" t="s">
        <v>73</v>
      </c>
      <c r="L321" t="s">
        <v>203</v>
      </c>
    </row>
    <row r="322" spans="1:13" hidden="1" x14ac:dyDescent="0.2">
      <c r="A322">
        <v>3</v>
      </c>
      <c r="C322" t="s">
        <v>252</v>
      </c>
      <c r="D322">
        <v>11</v>
      </c>
      <c r="E322" t="s">
        <v>253</v>
      </c>
      <c r="F322" s="21">
        <v>37350</v>
      </c>
      <c r="G322" s="22">
        <v>45659</v>
      </c>
      <c r="H322" t="s">
        <v>292</v>
      </c>
      <c r="I322" t="s">
        <v>30</v>
      </c>
      <c r="J322" t="s">
        <v>66</v>
      </c>
      <c r="K322" t="s">
        <v>73</v>
      </c>
      <c r="L322" t="s">
        <v>203</v>
      </c>
    </row>
    <row r="323" spans="1:13" hidden="1" x14ac:dyDescent="0.2">
      <c r="A323">
        <v>3</v>
      </c>
      <c r="C323" t="s">
        <v>252</v>
      </c>
      <c r="D323">
        <v>11</v>
      </c>
      <c r="E323" t="s">
        <v>253</v>
      </c>
      <c r="F323" s="21">
        <v>37350</v>
      </c>
      <c r="G323" s="22">
        <v>45659</v>
      </c>
      <c r="H323" t="s">
        <v>294</v>
      </c>
      <c r="I323" t="s">
        <v>38</v>
      </c>
      <c r="K323" t="s">
        <v>74</v>
      </c>
      <c r="L323" t="s">
        <v>202</v>
      </c>
    </row>
    <row r="324" spans="1:13" hidden="1" x14ac:dyDescent="0.2">
      <c r="A324">
        <v>3</v>
      </c>
      <c r="C324" t="s">
        <v>252</v>
      </c>
      <c r="D324">
        <v>11</v>
      </c>
      <c r="E324" t="s">
        <v>253</v>
      </c>
      <c r="F324" s="21">
        <v>37350</v>
      </c>
      <c r="G324" s="22">
        <v>45659</v>
      </c>
      <c r="H324" t="s">
        <v>294</v>
      </c>
      <c r="I324" t="s">
        <v>76</v>
      </c>
      <c r="J324" t="s">
        <v>64</v>
      </c>
      <c r="K324" t="s">
        <v>65</v>
      </c>
      <c r="L324" t="s">
        <v>202</v>
      </c>
      <c r="M324" t="s">
        <v>265</v>
      </c>
    </row>
    <row r="325" spans="1:13" hidden="1" x14ac:dyDescent="0.2">
      <c r="A325">
        <v>3</v>
      </c>
      <c r="C325" t="s">
        <v>252</v>
      </c>
      <c r="D325">
        <v>11</v>
      </c>
      <c r="E325" t="s">
        <v>253</v>
      </c>
      <c r="F325" s="21">
        <v>37350</v>
      </c>
      <c r="G325" s="22">
        <v>45659</v>
      </c>
      <c r="H325" t="s">
        <v>282</v>
      </c>
      <c r="I325" t="s">
        <v>76</v>
      </c>
      <c r="J325" t="s">
        <v>64</v>
      </c>
      <c r="K325" t="s">
        <v>65</v>
      </c>
      <c r="L325" t="s">
        <v>202</v>
      </c>
      <c r="M325" t="s">
        <v>265</v>
      </c>
    </row>
    <row r="326" spans="1:13" hidden="1" x14ac:dyDescent="0.2">
      <c r="A326">
        <v>3</v>
      </c>
      <c r="C326" t="s">
        <v>252</v>
      </c>
      <c r="D326">
        <v>11</v>
      </c>
      <c r="E326" t="s">
        <v>253</v>
      </c>
      <c r="F326" s="21">
        <v>37350</v>
      </c>
      <c r="G326" s="22">
        <v>45659</v>
      </c>
      <c r="H326" t="s">
        <v>294</v>
      </c>
      <c r="I326" t="s">
        <v>40</v>
      </c>
      <c r="K326" t="s">
        <v>74</v>
      </c>
      <c r="L326" t="s">
        <v>203</v>
      </c>
    </row>
    <row r="327" spans="1:13" hidden="1" x14ac:dyDescent="0.2">
      <c r="A327">
        <v>3</v>
      </c>
      <c r="C327" t="s">
        <v>252</v>
      </c>
      <c r="D327">
        <v>11</v>
      </c>
      <c r="E327" t="s">
        <v>253</v>
      </c>
      <c r="F327" s="21">
        <v>37350</v>
      </c>
      <c r="G327" s="22">
        <v>45659</v>
      </c>
      <c r="H327" t="s">
        <v>294</v>
      </c>
      <c r="I327" t="s">
        <v>6</v>
      </c>
      <c r="J327" t="s">
        <v>66</v>
      </c>
      <c r="K327" t="s">
        <v>72</v>
      </c>
      <c r="L327" t="s">
        <v>203</v>
      </c>
    </row>
    <row r="328" spans="1:13" hidden="1" x14ac:dyDescent="0.2">
      <c r="A328">
        <v>3</v>
      </c>
      <c r="C328" t="s">
        <v>252</v>
      </c>
      <c r="D328">
        <v>11</v>
      </c>
      <c r="E328" t="s">
        <v>253</v>
      </c>
      <c r="F328" s="21">
        <v>37350</v>
      </c>
      <c r="G328">
        <v>45659</v>
      </c>
      <c r="H328" t="s">
        <v>280</v>
      </c>
      <c r="I328" t="s">
        <v>6</v>
      </c>
      <c r="J328" t="s">
        <v>64</v>
      </c>
      <c r="K328" t="s">
        <v>75</v>
      </c>
      <c r="L328" t="s">
        <v>204</v>
      </c>
    </row>
    <row r="329" spans="1:13" hidden="1" x14ac:dyDescent="0.2">
      <c r="A329">
        <v>3</v>
      </c>
      <c r="C329" t="s">
        <v>252</v>
      </c>
      <c r="D329">
        <v>11</v>
      </c>
      <c r="E329" t="s">
        <v>253</v>
      </c>
      <c r="F329" s="21">
        <v>37350</v>
      </c>
      <c r="G329" s="22">
        <v>45659</v>
      </c>
      <c r="H329" t="s">
        <v>295</v>
      </c>
      <c r="I329" t="s">
        <v>6</v>
      </c>
      <c r="J329" t="s">
        <v>66</v>
      </c>
      <c r="K329" t="s">
        <v>74</v>
      </c>
      <c r="L329" t="s">
        <v>202</v>
      </c>
    </row>
    <row r="330" spans="1:13" hidden="1" x14ac:dyDescent="0.2">
      <c r="A330">
        <v>3</v>
      </c>
      <c r="C330" t="s">
        <v>252</v>
      </c>
      <c r="D330">
        <v>11</v>
      </c>
      <c r="E330" t="s">
        <v>253</v>
      </c>
      <c r="F330" s="21">
        <v>37350</v>
      </c>
      <c r="G330" s="22">
        <v>45659</v>
      </c>
      <c r="H330" t="s">
        <v>281</v>
      </c>
      <c r="I330" t="s">
        <v>6</v>
      </c>
      <c r="J330" t="s">
        <v>66</v>
      </c>
      <c r="K330" t="s">
        <v>74</v>
      </c>
      <c r="L330" t="s">
        <v>203</v>
      </c>
    </row>
    <row r="331" spans="1:13" hidden="1" x14ac:dyDescent="0.2">
      <c r="A331">
        <v>3</v>
      </c>
      <c r="C331" t="s">
        <v>252</v>
      </c>
      <c r="D331">
        <v>11</v>
      </c>
      <c r="E331" t="s">
        <v>253</v>
      </c>
      <c r="F331" s="21">
        <v>37350</v>
      </c>
      <c r="G331" s="22">
        <v>45659</v>
      </c>
      <c r="H331" t="s">
        <v>295</v>
      </c>
      <c r="I331" t="s">
        <v>30</v>
      </c>
      <c r="J331" t="s">
        <v>71</v>
      </c>
      <c r="K331" t="s">
        <v>72</v>
      </c>
      <c r="L331" t="s">
        <v>202</v>
      </c>
    </row>
    <row r="332" spans="1:13" hidden="1" x14ac:dyDescent="0.2">
      <c r="A332">
        <v>3</v>
      </c>
      <c r="C332" t="s">
        <v>252</v>
      </c>
      <c r="D332">
        <v>11</v>
      </c>
      <c r="E332" t="s">
        <v>253</v>
      </c>
      <c r="F332" s="21">
        <v>37350</v>
      </c>
      <c r="G332" s="22">
        <v>45659</v>
      </c>
      <c r="H332" t="s">
        <v>293</v>
      </c>
      <c r="I332" t="s">
        <v>6</v>
      </c>
      <c r="J332" t="s">
        <v>66</v>
      </c>
      <c r="K332" t="s">
        <v>74</v>
      </c>
      <c r="L332" t="s">
        <v>203</v>
      </c>
    </row>
    <row r="333" spans="1:13" hidden="1" x14ac:dyDescent="0.2">
      <c r="A333">
        <v>3</v>
      </c>
      <c r="C333" t="s">
        <v>252</v>
      </c>
      <c r="D333">
        <v>11</v>
      </c>
      <c r="E333" t="s">
        <v>253</v>
      </c>
      <c r="F333" s="21">
        <v>37350</v>
      </c>
      <c r="G333" s="22">
        <v>45659</v>
      </c>
      <c r="H333" t="s">
        <v>286</v>
      </c>
      <c r="I333" t="s">
        <v>6</v>
      </c>
      <c r="J333" t="s">
        <v>66</v>
      </c>
      <c r="K333" t="s">
        <v>74</v>
      </c>
      <c r="L333" t="s">
        <v>203</v>
      </c>
      <c r="M333" t="s">
        <v>260</v>
      </c>
    </row>
    <row r="334" spans="1:13" hidden="1" x14ac:dyDescent="0.2">
      <c r="A334">
        <v>3</v>
      </c>
      <c r="C334" t="s">
        <v>252</v>
      </c>
      <c r="D334">
        <v>11</v>
      </c>
      <c r="E334" t="s">
        <v>253</v>
      </c>
      <c r="F334" s="21">
        <v>37350</v>
      </c>
      <c r="G334" s="22">
        <v>45659</v>
      </c>
      <c r="H334" t="s">
        <v>285</v>
      </c>
      <c r="I334" t="s">
        <v>12</v>
      </c>
      <c r="J334" t="s">
        <v>64</v>
      </c>
      <c r="K334" t="s">
        <v>75</v>
      </c>
      <c r="L334" t="s">
        <v>204</v>
      </c>
    </row>
    <row r="335" spans="1:13" hidden="1" x14ac:dyDescent="0.2">
      <c r="A335">
        <v>3</v>
      </c>
      <c r="C335" t="s">
        <v>252</v>
      </c>
      <c r="D335">
        <v>11</v>
      </c>
      <c r="E335" t="s">
        <v>253</v>
      </c>
      <c r="F335" s="21">
        <v>37350</v>
      </c>
      <c r="G335" s="22">
        <v>45659</v>
      </c>
      <c r="H335" t="s">
        <v>285</v>
      </c>
      <c r="I335" t="s">
        <v>23</v>
      </c>
      <c r="J335" t="s">
        <v>66</v>
      </c>
      <c r="K335" t="s">
        <v>75</v>
      </c>
      <c r="L335" t="s">
        <v>204</v>
      </c>
    </row>
    <row r="336" spans="1:13" hidden="1" x14ac:dyDescent="0.2">
      <c r="A336">
        <v>3</v>
      </c>
      <c r="C336" t="s">
        <v>252</v>
      </c>
      <c r="D336">
        <v>11</v>
      </c>
      <c r="E336" t="s">
        <v>253</v>
      </c>
      <c r="F336" s="21">
        <v>37350</v>
      </c>
      <c r="G336" s="22">
        <v>45659</v>
      </c>
      <c r="H336" t="s">
        <v>292</v>
      </c>
      <c r="I336" t="s">
        <v>14</v>
      </c>
      <c r="J336" t="s">
        <v>64</v>
      </c>
      <c r="K336" t="s">
        <v>69</v>
      </c>
      <c r="L336" t="s">
        <v>204</v>
      </c>
    </row>
    <row r="337" spans="1:13" hidden="1" x14ac:dyDescent="0.2">
      <c r="A337">
        <v>3</v>
      </c>
      <c r="C337" t="s">
        <v>252</v>
      </c>
      <c r="D337">
        <v>11</v>
      </c>
      <c r="E337" t="s">
        <v>253</v>
      </c>
      <c r="F337" s="21">
        <v>37350</v>
      </c>
      <c r="G337" s="22">
        <v>45659</v>
      </c>
      <c r="H337" t="s">
        <v>281</v>
      </c>
      <c r="I337" t="s">
        <v>30</v>
      </c>
      <c r="J337" t="s">
        <v>71</v>
      </c>
      <c r="K337" t="s">
        <v>72</v>
      </c>
      <c r="L337" t="s">
        <v>202</v>
      </c>
    </row>
    <row r="338" spans="1:13" hidden="1" x14ac:dyDescent="0.2">
      <c r="A338">
        <v>3</v>
      </c>
      <c r="C338" t="s">
        <v>252</v>
      </c>
      <c r="D338">
        <v>11</v>
      </c>
      <c r="E338" t="s">
        <v>253</v>
      </c>
      <c r="F338" s="21">
        <v>37350</v>
      </c>
      <c r="G338" s="22">
        <v>45659</v>
      </c>
      <c r="H338" t="s">
        <v>285</v>
      </c>
      <c r="I338" t="s">
        <v>14</v>
      </c>
      <c r="J338" t="s">
        <v>64</v>
      </c>
      <c r="K338" t="s">
        <v>69</v>
      </c>
      <c r="L338" t="s">
        <v>204</v>
      </c>
    </row>
    <row r="339" spans="1:13" hidden="1" x14ac:dyDescent="0.2">
      <c r="A339">
        <v>3</v>
      </c>
      <c r="C339" t="s">
        <v>252</v>
      </c>
      <c r="D339">
        <v>11</v>
      </c>
      <c r="E339" t="s">
        <v>253</v>
      </c>
      <c r="F339" s="21">
        <v>37350</v>
      </c>
      <c r="G339" s="22">
        <v>45659</v>
      </c>
      <c r="H339" t="s">
        <v>279</v>
      </c>
      <c r="I339" t="s">
        <v>34</v>
      </c>
      <c r="J339" t="s">
        <v>71</v>
      </c>
      <c r="K339" t="s">
        <v>69</v>
      </c>
      <c r="L339" t="s">
        <v>204</v>
      </c>
    </row>
    <row r="340" spans="1:13" hidden="1" x14ac:dyDescent="0.2">
      <c r="A340">
        <v>3</v>
      </c>
      <c r="C340" t="s">
        <v>252</v>
      </c>
      <c r="D340">
        <v>11</v>
      </c>
      <c r="E340" t="s">
        <v>253</v>
      </c>
      <c r="F340" s="21">
        <v>37350</v>
      </c>
      <c r="G340" s="22">
        <v>45659</v>
      </c>
      <c r="H340" t="s">
        <v>279</v>
      </c>
      <c r="I340" t="s">
        <v>6</v>
      </c>
      <c r="J340" t="s">
        <v>66</v>
      </c>
      <c r="K340" t="s">
        <v>73</v>
      </c>
      <c r="L340" t="s">
        <v>203</v>
      </c>
    </row>
    <row r="341" spans="1:13" hidden="1" x14ac:dyDescent="0.2">
      <c r="A341">
        <v>3</v>
      </c>
      <c r="C341" t="s">
        <v>252</v>
      </c>
      <c r="D341">
        <v>11</v>
      </c>
      <c r="E341" t="s">
        <v>253</v>
      </c>
      <c r="F341" s="21">
        <v>37350</v>
      </c>
      <c r="G341" s="22">
        <v>45659</v>
      </c>
      <c r="H341" t="s">
        <v>292</v>
      </c>
      <c r="I341" t="s">
        <v>6</v>
      </c>
      <c r="J341" t="s">
        <v>66</v>
      </c>
      <c r="K341" t="s">
        <v>75</v>
      </c>
      <c r="L341" t="s">
        <v>204</v>
      </c>
    </row>
    <row r="342" spans="1:13" hidden="1" x14ac:dyDescent="0.2">
      <c r="A342">
        <v>3</v>
      </c>
      <c r="C342" t="s">
        <v>252</v>
      </c>
      <c r="D342">
        <v>11</v>
      </c>
      <c r="E342" t="s">
        <v>253</v>
      </c>
      <c r="F342" s="21">
        <v>37350</v>
      </c>
      <c r="G342" s="22">
        <v>45659</v>
      </c>
      <c r="H342" t="s">
        <v>293</v>
      </c>
      <c r="I342" t="s">
        <v>261</v>
      </c>
      <c r="J342" t="s">
        <v>66</v>
      </c>
      <c r="K342" t="s">
        <v>266</v>
      </c>
      <c r="L342" t="s">
        <v>204</v>
      </c>
      <c r="M342">
        <v>2</v>
      </c>
    </row>
    <row r="343" spans="1:13" hidden="1" x14ac:dyDescent="0.2">
      <c r="A343">
        <v>3</v>
      </c>
      <c r="C343" t="s">
        <v>252</v>
      </c>
      <c r="D343">
        <v>11</v>
      </c>
      <c r="E343" t="s">
        <v>253</v>
      </c>
      <c r="F343" s="21">
        <v>37350</v>
      </c>
      <c r="G343" s="22">
        <v>45659</v>
      </c>
      <c r="H343" t="s">
        <v>281</v>
      </c>
      <c r="I343" t="s">
        <v>14</v>
      </c>
      <c r="J343" t="s">
        <v>64</v>
      </c>
      <c r="K343" t="s">
        <v>69</v>
      </c>
      <c r="L343" t="s">
        <v>204</v>
      </c>
    </row>
    <row r="344" spans="1:13" hidden="1" x14ac:dyDescent="0.2">
      <c r="A344">
        <v>3</v>
      </c>
      <c r="C344" t="s">
        <v>252</v>
      </c>
      <c r="D344">
        <v>11</v>
      </c>
      <c r="E344" t="s">
        <v>253</v>
      </c>
      <c r="F344" s="21">
        <v>37350</v>
      </c>
      <c r="G344" s="22">
        <v>45717</v>
      </c>
      <c r="H344" t="s">
        <v>294</v>
      </c>
      <c r="I344" t="s">
        <v>200</v>
      </c>
      <c r="J344" t="s">
        <v>71</v>
      </c>
      <c r="K344" t="s">
        <v>73</v>
      </c>
      <c r="L344" t="s">
        <v>203</v>
      </c>
    </row>
    <row r="345" spans="1:13" hidden="1" x14ac:dyDescent="0.2">
      <c r="A345">
        <v>3</v>
      </c>
      <c r="C345" t="s">
        <v>252</v>
      </c>
      <c r="D345">
        <v>11</v>
      </c>
      <c r="E345" t="s">
        <v>253</v>
      </c>
      <c r="F345" s="21">
        <v>37350</v>
      </c>
      <c r="G345" s="22">
        <v>45717</v>
      </c>
      <c r="H345" t="s">
        <v>286</v>
      </c>
      <c r="I345" t="s">
        <v>40</v>
      </c>
      <c r="J345" t="s">
        <v>66</v>
      </c>
      <c r="K345" t="s">
        <v>73</v>
      </c>
      <c r="L345" t="s">
        <v>203</v>
      </c>
      <c r="M345" t="s">
        <v>230</v>
      </c>
    </row>
    <row r="346" spans="1:13" hidden="1" x14ac:dyDescent="0.2">
      <c r="A346">
        <v>3</v>
      </c>
      <c r="C346" t="s">
        <v>252</v>
      </c>
      <c r="D346">
        <v>11</v>
      </c>
      <c r="E346" t="s">
        <v>253</v>
      </c>
      <c r="F346" s="21">
        <v>37350</v>
      </c>
      <c r="G346" s="22">
        <v>45717</v>
      </c>
      <c r="H346" t="s">
        <v>279</v>
      </c>
      <c r="I346" t="s">
        <v>12</v>
      </c>
      <c r="J346" t="s">
        <v>66</v>
      </c>
      <c r="K346" t="s">
        <v>69</v>
      </c>
      <c r="L346" t="s">
        <v>204</v>
      </c>
    </row>
    <row r="347" spans="1:13" hidden="1" x14ac:dyDescent="0.2">
      <c r="A347">
        <v>3</v>
      </c>
      <c r="C347" t="s">
        <v>252</v>
      </c>
      <c r="D347">
        <v>11</v>
      </c>
      <c r="E347" t="s">
        <v>253</v>
      </c>
      <c r="F347" s="21">
        <v>37350</v>
      </c>
      <c r="G347" s="22">
        <v>45717</v>
      </c>
      <c r="H347" t="s">
        <v>279</v>
      </c>
      <c r="I347" t="s">
        <v>14</v>
      </c>
      <c r="J347" t="s">
        <v>64</v>
      </c>
      <c r="K347" t="s">
        <v>69</v>
      </c>
      <c r="L347" t="s">
        <v>204</v>
      </c>
    </row>
    <row r="348" spans="1:13" hidden="1" x14ac:dyDescent="0.2">
      <c r="A348">
        <v>3</v>
      </c>
      <c r="C348" t="s">
        <v>252</v>
      </c>
      <c r="D348">
        <v>11</v>
      </c>
      <c r="E348" t="s">
        <v>253</v>
      </c>
      <c r="F348" s="21">
        <v>37350</v>
      </c>
      <c r="G348" s="22">
        <v>45717</v>
      </c>
      <c r="H348" t="s">
        <v>293</v>
      </c>
      <c r="I348" t="s">
        <v>261</v>
      </c>
      <c r="J348" t="s">
        <v>64</v>
      </c>
      <c r="K348" t="s">
        <v>266</v>
      </c>
      <c r="L348" t="s">
        <v>204</v>
      </c>
      <c r="M348">
        <v>3</v>
      </c>
    </row>
    <row r="349" spans="1:13" hidden="1" x14ac:dyDescent="0.2">
      <c r="A349">
        <v>3</v>
      </c>
      <c r="C349" t="s">
        <v>252</v>
      </c>
      <c r="D349">
        <v>11</v>
      </c>
      <c r="E349" t="s">
        <v>253</v>
      </c>
      <c r="F349" s="21">
        <v>37350</v>
      </c>
      <c r="G349" s="22">
        <v>45717</v>
      </c>
      <c r="H349" t="s">
        <v>294</v>
      </c>
      <c r="I349" t="s">
        <v>200</v>
      </c>
      <c r="J349" t="s">
        <v>71</v>
      </c>
      <c r="K349" t="s">
        <v>74</v>
      </c>
      <c r="L349" t="s">
        <v>203</v>
      </c>
    </row>
    <row r="350" spans="1:13" hidden="1" x14ac:dyDescent="0.2">
      <c r="A350">
        <v>3</v>
      </c>
      <c r="C350" t="s">
        <v>252</v>
      </c>
      <c r="D350">
        <v>11</v>
      </c>
      <c r="E350" t="s">
        <v>253</v>
      </c>
      <c r="F350" s="21">
        <v>37350</v>
      </c>
      <c r="G350" s="22">
        <v>45717</v>
      </c>
      <c r="H350" t="s">
        <v>295</v>
      </c>
      <c r="I350" t="s">
        <v>30</v>
      </c>
      <c r="J350" t="s">
        <v>71</v>
      </c>
      <c r="K350" t="s">
        <v>72</v>
      </c>
      <c r="L350" t="s">
        <v>202</v>
      </c>
    </row>
    <row r="351" spans="1:13" hidden="1" x14ac:dyDescent="0.2">
      <c r="A351">
        <v>3</v>
      </c>
      <c r="C351" t="s">
        <v>252</v>
      </c>
      <c r="D351">
        <v>11</v>
      </c>
      <c r="E351" t="s">
        <v>253</v>
      </c>
      <c r="F351" s="21">
        <v>37350</v>
      </c>
      <c r="G351" s="22">
        <v>45717</v>
      </c>
      <c r="H351" t="s">
        <v>295</v>
      </c>
      <c r="I351" t="s">
        <v>76</v>
      </c>
      <c r="J351" t="s">
        <v>64</v>
      </c>
      <c r="K351" t="s">
        <v>72</v>
      </c>
      <c r="L351" t="s">
        <v>202</v>
      </c>
    </row>
    <row r="352" spans="1:13" hidden="1" x14ac:dyDescent="0.2">
      <c r="A352">
        <v>3</v>
      </c>
      <c r="C352" t="s">
        <v>252</v>
      </c>
      <c r="D352">
        <v>11</v>
      </c>
      <c r="E352" t="s">
        <v>253</v>
      </c>
      <c r="F352" s="21">
        <v>37350</v>
      </c>
      <c r="G352" s="22">
        <v>45717</v>
      </c>
      <c r="H352" t="s">
        <v>281</v>
      </c>
      <c r="I352" t="s">
        <v>6</v>
      </c>
      <c r="J352" t="s">
        <v>66</v>
      </c>
      <c r="K352" t="s">
        <v>72</v>
      </c>
      <c r="L352" t="s">
        <v>203</v>
      </c>
    </row>
    <row r="353" spans="1:13" hidden="1" x14ac:dyDescent="0.2">
      <c r="A353">
        <v>3</v>
      </c>
      <c r="C353" t="s">
        <v>252</v>
      </c>
      <c r="D353">
        <v>11</v>
      </c>
      <c r="E353" t="s">
        <v>253</v>
      </c>
      <c r="F353" s="21">
        <v>37350</v>
      </c>
      <c r="G353" s="22">
        <v>45717</v>
      </c>
      <c r="H353" t="s">
        <v>285</v>
      </c>
      <c r="I353" t="s">
        <v>40</v>
      </c>
      <c r="J353" t="s">
        <v>66</v>
      </c>
      <c r="K353" t="s">
        <v>75</v>
      </c>
      <c r="L353" t="s">
        <v>204</v>
      </c>
    </row>
    <row r="354" spans="1:13" hidden="1" x14ac:dyDescent="0.2">
      <c r="A354">
        <v>3</v>
      </c>
      <c r="C354" t="s">
        <v>252</v>
      </c>
      <c r="D354">
        <v>11</v>
      </c>
      <c r="E354" t="s">
        <v>253</v>
      </c>
      <c r="F354" s="21">
        <v>37350</v>
      </c>
      <c r="G354" s="22">
        <v>45717</v>
      </c>
      <c r="H354" t="s">
        <v>279</v>
      </c>
      <c r="I354" t="s">
        <v>14</v>
      </c>
      <c r="J354" t="s">
        <v>64</v>
      </c>
      <c r="K354" t="s">
        <v>69</v>
      </c>
      <c r="L354" t="s">
        <v>204</v>
      </c>
    </row>
    <row r="355" spans="1:13" hidden="1" x14ac:dyDescent="0.2">
      <c r="A355">
        <v>3</v>
      </c>
      <c r="C355" t="s">
        <v>252</v>
      </c>
      <c r="D355">
        <v>11</v>
      </c>
      <c r="E355" t="s">
        <v>253</v>
      </c>
      <c r="F355" s="21">
        <v>37350</v>
      </c>
      <c r="G355" s="22">
        <v>45717</v>
      </c>
      <c r="H355" t="s">
        <v>282</v>
      </c>
      <c r="I355" t="s">
        <v>30</v>
      </c>
      <c r="J355" t="s">
        <v>66</v>
      </c>
      <c r="K355" t="s">
        <v>74</v>
      </c>
      <c r="L355" t="s">
        <v>203</v>
      </c>
    </row>
    <row r="356" spans="1:13" hidden="1" x14ac:dyDescent="0.2">
      <c r="A356">
        <v>3</v>
      </c>
      <c r="C356" t="s">
        <v>252</v>
      </c>
      <c r="D356">
        <v>11</v>
      </c>
      <c r="E356" t="s">
        <v>253</v>
      </c>
      <c r="F356" s="21">
        <v>37350</v>
      </c>
      <c r="G356" s="22">
        <v>45717</v>
      </c>
      <c r="H356" t="s">
        <v>282</v>
      </c>
      <c r="I356" t="s">
        <v>6</v>
      </c>
      <c r="J356" t="s">
        <v>64</v>
      </c>
      <c r="K356" t="s">
        <v>74</v>
      </c>
      <c r="L356" t="s">
        <v>203</v>
      </c>
    </row>
    <row r="357" spans="1:13" hidden="1" x14ac:dyDescent="0.2">
      <c r="A357">
        <v>3</v>
      </c>
      <c r="C357" t="s">
        <v>252</v>
      </c>
      <c r="D357">
        <v>11</v>
      </c>
      <c r="E357" t="s">
        <v>253</v>
      </c>
      <c r="F357" s="21">
        <v>37350</v>
      </c>
      <c r="G357" s="22">
        <v>45717</v>
      </c>
      <c r="H357" t="s">
        <v>281</v>
      </c>
      <c r="I357" t="s">
        <v>200</v>
      </c>
      <c r="J357" t="s">
        <v>71</v>
      </c>
      <c r="K357" t="s">
        <v>72</v>
      </c>
      <c r="L357" t="s">
        <v>203</v>
      </c>
    </row>
    <row r="358" spans="1:13" hidden="1" x14ac:dyDescent="0.2">
      <c r="A358">
        <v>3</v>
      </c>
      <c r="C358" t="s">
        <v>252</v>
      </c>
      <c r="D358">
        <v>11</v>
      </c>
      <c r="E358" t="s">
        <v>253</v>
      </c>
      <c r="F358" s="21">
        <v>37350</v>
      </c>
      <c r="G358" s="22">
        <v>45717</v>
      </c>
      <c r="H358" t="s">
        <v>295</v>
      </c>
      <c r="I358" t="s">
        <v>30</v>
      </c>
      <c r="J358" t="s">
        <v>66</v>
      </c>
      <c r="K358" t="s">
        <v>72</v>
      </c>
      <c r="L358" t="s">
        <v>202</v>
      </c>
    </row>
    <row r="359" spans="1:13" hidden="1" x14ac:dyDescent="0.2">
      <c r="A359">
        <v>3</v>
      </c>
      <c r="C359" t="s">
        <v>252</v>
      </c>
      <c r="D359">
        <v>11</v>
      </c>
      <c r="E359" t="s">
        <v>253</v>
      </c>
      <c r="F359" s="21">
        <v>37350</v>
      </c>
      <c r="G359" s="22">
        <v>45717</v>
      </c>
      <c r="H359" t="s">
        <v>292</v>
      </c>
      <c r="I359" t="s">
        <v>12</v>
      </c>
      <c r="J359" t="s">
        <v>71</v>
      </c>
      <c r="K359" t="s">
        <v>73</v>
      </c>
      <c r="L359" t="s">
        <v>203</v>
      </c>
      <c r="M359" t="s">
        <v>231</v>
      </c>
    </row>
    <row r="360" spans="1:13" hidden="1" x14ac:dyDescent="0.2">
      <c r="A360">
        <v>3</v>
      </c>
      <c r="C360" t="s">
        <v>252</v>
      </c>
      <c r="D360">
        <v>11</v>
      </c>
      <c r="E360" t="s">
        <v>253</v>
      </c>
      <c r="F360" s="21">
        <v>37350</v>
      </c>
      <c r="G360" s="22">
        <v>45717</v>
      </c>
      <c r="H360" t="s">
        <v>294</v>
      </c>
      <c r="I360" t="s">
        <v>9</v>
      </c>
      <c r="J360" t="s">
        <v>64</v>
      </c>
      <c r="K360" t="s">
        <v>73</v>
      </c>
      <c r="L360" t="s">
        <v>203</v>
      </c>
    </row>
    <row r="361" spans="1:13" hidden="1" x14ac:dyDescent="0.2">
      <c r="A361">
        <v>3</v>
      </c>
      <c r="C361" t="s">
        <v>252</v>
      </c>
      <c r="D361">
        <v>11</v>
      </c>
      <c r="E361" t="s">
        <v>253</v>
      </c>
      <c r="F361" s="21">
        <v>37350</v>
      </c>
      <c r="G361" s="22">
        <v>45717</v>
      </c>
      <c r="H361" t="s">
        <v>292</v>
      </c>
      <c r="I361" t="s">
        <v>12</v>
      </c>
      <c r="J361" t="s">
        <v>71</v>
      </c>
      <c r="K361" t="s">
        <v>73</v>
      </c>
      <c r="L361" t="s">
        <v>203</v>
      </c>
    </row>
    <row r="362" spans="1:13" hidden="1" x14ac:dyDescent="0.2">
      <c r="A362">
        <v>3</v>
      </c>
      <c r="C362" t="s">
        <v>252</v>
      </c>
      <c r="D362">
        <v>11</v>
      </c>
      <c r="E362" t="s">
        <v>253</v>
      </c>
      <c r="F362" s="21">
        <v>37350</v>
      </c>
      <c r="G362" s="22">
        <v>45717</v>
      </c>
      <c r="H362" t="s">
        <v>292</v>
      </c>
      <c r="I362" t="s">
        <v>6</v>
      </c>
      <c r="J362" t="s">
        <v>66</v>
      </c>
      <c r="K362" t="s">
        <v>75</v>
      </c>
      <c r="L362" t="s">
        <v>204</v>
      </c>
    </row>
    <row r="363" spans="1:13" hidden="1" x14ac:dyDescent="0.2">
      <c r="A363">
        <v>3</v>
      </c>
      <c r="C363" t="s">
        <v>252</v>
      </c>
      <c r="D363">
        <v>11</v>
      </c>
      <c r="E363" t="s">
        <v>253</v>
      </c>
      <c r="F363" s="21">
        <v>37350</v>
      </c>
      <c r="G363" s="22">
        <v>45717</v>
      </c>
      <c r="H363" t="s">
        <v>294</v>
      </c>
      <c r="I363" t="s">
        <v>6</v>
      </c>
      <c r="J363" t="s">
        <v>66</v>
      </c>
      <c r="K363" t="s">
        <v>73</v>
      </c>
      <c r="L363" t="s">
        <v>204</v>
      </c>
    </row>
    <row r="364" spans="1:13" hidden="1" x14ac:dyDescent="0.2">
      <c r="A364">
        <v>3</v>
      </c>
      <c r="C364" t="s">
        <v>252</v>
      </c>
      <c r="D364">
        <v>11</v>
      </c>
      <c r="E364" t="s">
        <v>253</v>
      </c>
      <c r="F364" s="21">
        <v>37350</v>
      </c>
      <c r="G364" s="22">
        <v>45717</v>
      </c>
      <c r="H364" t="s">
        <v>293</v>
      </c>
      <c r="I364" t="s">
        <v>261</v>
      </c>
      <c r="J364" t="s">
        <v>66</v>
      </c>
      <c r="K364" t="s">
        <v>266</v>
      </c>
      <c r="L364" t="s">
        <v>204</v>
      </c>
      <c r="M364">
        <v>2</v>
      </c>
    </row>
    <row r="365" spans="1:13" hidden="1" x14ac:dyDescent="0.2">
      <c r="A365">
        <v>3</v>
      </c>
      <c r="C365" t="s">
        <v>252</v>
      </c>
      <c r="D365">
        <v>11</v>
      </c>
      <c r="E365" t="s">
        <v>253</v>
      </c>
      <c r="F365" s="21">
        <v>37350</v>
      </c>
      <c r="G365" s="22">
        <v>45717</v>
      </c>
      <c r="H365" t="s">
        <v>292</v>
      </c>
      <c r="I365" t="s">
        <v>30</v>
      </c>
      <c r="J365" t="s">
        <v>66</v>
      </c>
      <c r="K365" t="s">
        <v>73</v>
      </c>
      <c r="L365" t="s">
        <v>203</v>
      </c>
    </row>
    <row r="366" spans="1:13" hidden="1" x14ac:dyDescent="0.2">
      <c r="A366">
        <v>3</v>
      </c>
      <c r="C366" t="s">
        <v>252</v>
      </c>
      <c r="D366">
        <v>11</v>
      </c>
      <c r="E366" t="s">
        <v>253</v>
      </c>
      <c r="F366" s="21">
        <v>37350</v>
      </c>
      <c r="G366" s="22">
        <v>45717</v>
      </c>
      <c r="H366" t="s">
        <v>294</v>
      </c>
      <c r="I366" t="s">
        <v>18</v>
      </c>
      <c r="J366" t="s">
        <v>66</v>
      </c>
      <c r="K366" t="s">
        <v>74</v>
      </c>
      <c r="L366" t="s">
        <v>204</v>
      </c>
    </row>
    <row r="367" spans="1:13" hidden="1" x14ac:dyDescent="0.2">
      <c r="A367">
        <v>3</v>
      </c>
      <c r="C367" t="s">
        <v>252</v>
      </c>
      <c r="D367">
        <v>11</v>
      </c>
      <c r="E367" t="s">
        <v>253</v>
      </c>
      <c r="F367" s="21">
        <v>37350</v>
      </c>
      <c r="G367" s="22">
        <v>45717</v>
      </c>
      <c r="H367" t="s">
        <v>285</v>
      </c>
      <c r="I367" t="s">
        <v>14</v>
      </c>
      <c r="J367" t="s">
        <v>80</v>
      </c>
      <c r="K367" t="s">
        <v>69</v>
      </c>
      <c r="L367" t="s">
        <v>204</v>
      </c>
      <c r="M367" t="s">
        <v>16</v>
      </c>
    </row>
    <row r="368" spans="1:13" hidden="1" x14ac:dyDescent="0.2">
      <c r="A368">
        <v>3</v>
      </c>
      <c r="C368" t="s">
        <v>252</v>
      </c>
      <c r="D368">
        <v>11</v>
      </c>
      <c r="E368" t="s">
        <v>253</v>
      </c>
      <c r="F368" s="21">
        <v>37350</v>
      </c>
      <c r="G368">
        <v>45717</v>
      </c>
      <c r="H368" t="s">
        <v>280</v>
      </c>
      <c r="I368" t="s">
        <v>200</v>
      </c>
      <c r="J368" t="s">
        <v>68</v>
      </c>
      <c r="K368" t="s">
        <v>67</v>
      </c>
      <c r="L368" t="s">
        <v>202</v>
      </c>
    </row>
    <row r="369" spans="1:13" hidden="1" x14ac:dyDescent="0.2">
      <c r="A369">
        <v>3</v>
      </c>
      <c r="C369" t="s">
        <v>252</v>
      </c>
      <c r="D369">
        <v>11</v>
      </c>
      <c r="E369" t="s">
        <v>253</v>
      </c>
      <c r="F369" s="21">
        <v>37350</v>
      </c>
      <c r="G369" s="22">
        <v>45717</v>
      </c>
      <c r="H369" t="s">
        <v>286</v>
      </c>
      <c r="I369" t="s">
        <v>38</v>
      </c>
      <c r="J369" t="s">
        <v>66</v>
      </c>
      <c r="K369" t="s">
        <v>67</v>
      </c>
      <c r="L369" t="s">
        <v>202</v>
      </c>
      <c r="M369" t="s">
        <v>230</v>
      </c>
    </row>
    <row r="370" spans="1:13" hidden="1" x14ac:dyDescent="0.2">
      <c r="A370">
        <v>3</v>
      </c>
      <c r="C370" t="s">
        <v>252</v>
      </c>
      <c r="D370">
        <v>11</v>
      </c>
      <c r="E370" t="s">
        <v>253</v>
      </c>
      <c r="F370" s="21">
        <v>37350</v>
      </c>
      <c r="G370" s="22">
        <v>45717</v>
      </c>
      <c r="H370" t="s">
        <v>282</v>
      </c>
      <c r="I370" t="s">
        <v>76</v>
      </c>
      <c r="K370" t="s">
        <v>65</v>
      </c>
      <c r="L370" t="s">
        <v>202</v>
      </c>
      <c r="M370" t="s">
        <v>267</v>
      </c>
    </row>
    <row r="371" spans="1:13" hidden="1" x14ac:dyDescent="0.2">
      <c r="A371">
        <v>3</v>
      </c>
      <c r="C371" t="s">
        <v>252</v>
      </c>
      <c r="D371">
        <v>11</v>
      </c>
      <c r="E371" t="s">
        <v>253</v>
      </c>
      <c r="F371" s="21">
        <v>37350</v>
      </c>
      <c r="G371" s="22">
        <v>45717</v>
      </c>
      <c r="H371" t="s">
        <v>286</v>
      </c>
      <c r="I371" t="s">
        <v>9</v>
      </c>
      <c r="J371" t="s">
        <v>66</v>
      </c>
      <c r="K371" t="s">
        <v>75</v>
      </c>
      <c r="L371" t="s">
        <v>203</v>
      </c>
    </row>
    <row r="372" spans="1:13" hidden="1" x14ac:dyDescent="0.2">
      <c r="A372">
        <v>3</v>
      </c>
      <c r="C372" t="s">
        <v>252</v>
      </c>
      <c r="D372">
        <v>11</v>
      </c>
      <c r="E372" t="s">
        <v>253</v>
      </c>
      <c r="F372" s="21">
        <v>37350</v>
      </c>
      <c r="G372">
        <v>45717</v>
      </c>
      <c r="H372" t="s">
        <v>280</v>
      </c>
      <c r="I372" t="s">
        <v>21</v>
      </c>
      <c r="J372" t="s">
        <v>66</v>
      </c>
      <c r="K372" t="s">
        <v>67</v>
      </c>
      <c r="L372" t="s">
        <v>202</v>
      </c>
    </row>
    <row r="373" spans="1:13" hidden="1" x14ac:dyDescent="0.2">
      <c r="A373">
        <v>3</v>
      </c>
      <c r="C373" t="s">
        <v>252</v>
      </c>
      <c r="D373">
        <v>11</v>
      </c>
      <c r="E373" t="s">
        <v>253</v>
      </c>
      <c r="F373" s="21">
        <v>37350</v>
      </c>
      <c r="G373">
        <v>45717</v>
      </c>
      <c r="H373" t="s">
        <v>280</v>
      </c>
      <c r="I373" t="s">
        <v>21</v>
      </c>
      <c r="J373" t="s">
        <v>66</v>
      </c>
      <c r="K373" t="s">
        <v>75</v>
      </c>
      <c r="L373" t="s">
        <v>204</v>
      </c>
    </row>
    <row r="374" spans="1:13" hidden="1" x14ac:dyDescent="0.2">
      <c r="A374">
        <v>3</v>
      </c>
      <c r="C374" t="s">
        <v>252</v>
      </c>
      <c r="D374">
        <v>11</v>
      </c>
      <c r="E374" t="s">
        <v>253</v>
      </c>
      <c r="F374" s="21">
        <v>37350</v>
      </c>
      <c r="G374" s="22">
        <v>45717</v>
      </c>
      <c r="H374" t="s">
        <v>279</v>
      </c>
      <c r="I374" t="s">
        <v>14</v>
      </c>
      <c r="J374" t="s">
        <v>80</v>
      </c>
      <c r="K374" t="s">
        <v>69</v>
      </c>
      <c r="L374" t="s">
        <v>204</v>
      </c>
    </row>
    <row r="375" spans="1:13" hidden="1" x14ac:dyDescent="0.2">
      <c r="A375">
        <v>3</v>
      </c>
      <c r="C375" t="s">
        <v>252</v>
      </c>
      <c r="D375">
        <v>11</v>
      </c>
      <c r="E375" t="s">
        <v>253</v>
      </c>
      <c r="F375" s="21">
        <v>37350</v>
      </c>
      <c r="G375" s="22">
        <v>45717</v>
      </c>
      <c r="H375" t="s">
        <v>294</v>
      </c>
      <c r="I375" t="s">
        <v>12</v>
      </c>
      <c r="J375" t="s">
        <v>64</v>
      </c>
      <c r="K375" t="s">
        <v>75</v>
      </c>
      <c r="L375" t="s">
        <v>204</v>
      </c>
    </row>
    <row r="376" spans="1:13" hidden="1" x14ac:dyDescent="0.2">
      <c r="A376">
        <v>3</v>
      </c>
      <c r="C376" t="s">
        <v>252</v>
      </c>
      <c r="D376">
        <v>11</v>
      </c>
      <c r="E376" t="s">
        <v>253</v>
      </c>
      <c r="F376" s="21">
        <v>37350</v>
      </c>
      <c r="G376" s="22">
        <v>45717</v>
      </c>
      <c r="H376" t="s">
        <v>286</v>
      </c>
      <c r="I376" t="s">
        <v>6</v>
      </c>
      <c r="J376" t="s">
        <v>66</v>
      </c>
      <c r="K376" t="s">
        <v>75</v>
      </c>
      <c r="L376" t="s">
        <v>204</v>
      </c>
    </row>
    <row r="377" spans="1:13" hidden="1" x14ac:dyDescent="0.2">
      <c r="A377">
        <v>3</v>
      </c>
      <c r="C377" t="s">
        <v>252</v>
      </c>
      <c r="D377">
        <v>11</v>
      </c>
      <c r="E377" t="s">
        <v>253</v>
      </c>
      <c r="F377" s="21">
        <v>37350</v>
      </c>
      <c r="G377" s="22">
        <v>45659</v>
      </c>
      <c r="H377" t="s">
        <v>281</v>
      </c>
      <c r="I377" t="s">
        <v>199</v>
      </c>
      <c r="J377" t="s">
        <v>71</v>
      </c>
      <c r="L377" t="s">
        <v>204</v>
      </c>
    </row>
    <row r="378" spans="1:13" hidden="1" x14ac:dyDescent="0.2">
      <c r="A378">
        <v>3</v>
      </c>
      <c r="C378" t="s">
        <v>252</v>
      </c>
      <c r="D378">
        <v>11</v>
      </c>
      <c r="E378" t="s">
        <v>253</v>
      </c>
      <c r="F378" s="21">
        <v>37350</v>
      </c>
      <c r="G378">
        <v>45659</v>
      </c>
      <c r="H378" t="s">
        <v>280</v>
      </c>
      <c r="I378" t="s">
        <v>6</v>
      </c>
      <c r="J378" t="s">
        <v>66</v>
      </c>
      <c r="K378" t="s">
        <v>67</v>
      </c>
      <c r="L378" t="s">
        <v>203</v>
      </c>
    </row>
    <row r="379" spans="1:13" hidden="1" x14ac:dyDescent="0.2">
      <c r="A379">
        <v>3</v>
      </c>
      <c r="C379" t="s">
        <v>252</v>
      </c>
      <c r="D379">
        <v>11</v>
      </c>
      <c r="E379" t="s">
        <v>253</v>
      </c>
      <c r="F379" s="21">
        <v>37350</v>
      </c>
      <c r="G379" s="22">
        <v>45659</v>
      </c>
      <c r="H379" t="s">
        <v>293</v>
      </c>
      <c r="I379" t="s">
        <v>6</v>
      </c>
      <c r="J379" t="s">
        <v>66</v>
      </c>
      <c r="K379" t="s">
        <v>67</v>
      </c>
      <c r="L379" t="s">
        <v>203</v>
      </c>
    </row>
    <row r="380" spans="1:13" hidden="1" x14ac:dyDescent="0.2">
      <c r="A380">
        <v>3</v>
      </c>
      <c r="C380" t="s">
        <v>252</v>
      </c>
      <c r="D380">
        <v>11</v>
      </c>
      <c r="E380" t="s">
        <v>253</v>
      </c>
      <c r="F380" s="21">
        <v>37350</v>
      </c>
      <c r="G380" s="22">
        <v>45659</v>
      </c>
      <c r="H380" t="s">
        <v>282</v>
      </c>
      <c r="I380" t="s">
        <v>6</v>
      </c>
      <c r="J380" t="s">
        <v>66</v>
      </c>
      <c r="K380" t="s">
        <v>67</v>
      </c>
      <c r="L380" t="s">
        <v>203</v>
      </c>
    </row>
    <row r="381" spans="1:13" hidden="1" x14ac:dyDescent="0.2">
      <c r="A381">
        <v>3</v>
      </c>
      <c r="C381" t="s">
        <v>252</v>
      </c>
      <c r="D381">
        <v>11</v>
      </c>
      <c r="E381" t="s">
        <v>253</v>
      </c>
      <c r="F381" s="21">
        <v>37350</v>
      </c>
      <c r="G381" s="22">
        <v>45659</v>
      </c>
      <c r="H381" t="s">
        <v>282</v>
      </c>
      <c r="I381" t="s">
        <v>6</v>
      </c>
      <c r="J381" t="s">
        <v>66</v>
      </c>
      <c r="L381" t="s">
        <v>203</v>
      </c>
    </row>
    <row r="382" spans="1:13" hidden="1" x14ac:dyDescent="0.2">
      <c r="A382">
        <v>3</v>
      </c>
      <c r="C382" t="s">
        <v>252</v>
      </c>
      <c r="D382">
        <v>11</v>
      </c>
      <c r="E382" t="s">
        <v>253</v>
      </c>
      <c r="F382" s="21">
        <v>37350</v>
      </c>
      <c r="G382">
        <v>45659</v>
      </c>
      <c r="H382" t="s">
        <v>280</v>
      </c>
      <c r="I382" t="s">
        <v>6</v>
      </c>
      <c r="J382" t="s">
        <v>66</v>
      </c>
      <c r="L382" t="s">
        <v>203</v>
      </c>
    </row>
    <row r="383" spans="1:13" hidden="1" x14ac:dyDescent="0.2">
      <c r="A383">
        <v>3</v>
      </c>
      <c r="C383" t="s">
        <v>252</v>
      </c>
      <c r="D383">
        <v>11</v>
      </c>
      <c r="E383" t="s">
        <v>253</v>
      </c>
      <c r="F383" s="21">
        <v>37350</v>
      </c>
      <c r="G383" s="22">
        <v>45659</v>
      </c>
      <c r="H383" t="s">
        <v>293</v>
      </c>
      <c r="I383" t="s">
        <v>6</v>
      </c>
      <c r="J383" t="s">
        <v>66</v>
      </c>
      <c r="L383" t="s">
        <v>203</v>
      </c>
    </row>
    <row r="384" spans="1:13" hidden="1" x14ac:dyDescent="0.2">
      <c r="A384">
        <v>3</v>
      </c>
      <c r="C384" t="s">
        <v>252</v>
      </c>
      <c r="D384">
        <v>11</v>
      </c>
      <c r="E384" t="s">
        <v>253</v>
      </c>
      <c r="F384" s="21">
        <v>37350</v>
      </c>
      <c r="G384" s="22">
        <v>45659</v>
      </c>
      <c r="H384" t="s">
        <v>279</v>
      </c>
      <c r="I384" t="s">
        <v>12</v>
      </c>
      <c r="J384" t="s">
        <v>71</v>
      </c>
      <c r="K384" t="s">
        <v>75</v>
      </c>
      <c r="L384" t="s">
        <v>204</v>
      </c>
    </row>
    <row r="385" spans="1:13" hidden="1" x14ac:dyDescent="0.2">
      <c r="A385">
        <v>3</v>
      </c>
      <c r="C385" t="s">
        <v>252</v>
      </c>
      <c r="D385">
        <v>11</v>
      </c>
      <c r="E385" t="s">
        <v>253</v>
      </c>
      <c r="F385" s="21">
        <v>37350</v>
      </c>
      <c r="G385" s="22">
        <v>45659</v>
      </c>
      <c r="H385" t="s">
        <v>295</v>
      </c>
      <c r="I385" t="s">
        <v>30</v>
      </c>
      <c r="J385" t="s">
        <v>66</v>
      </c>
      <c r="L385" t="s">
        <v>202</v>
      </c>
    </row>
    <row r="386" spans="1:13" hidden="1" x14ac:dyDescent="0.2">
      <c r="A386">
        <v>3</v>
      </c>
      <c r="C386" t="s">
        <v>252</v>
      </c>
      <c r="D386">
        <v>11</v>
      </c>
      <c r="E386" t="s">
        <v>253</v>
      </c>
      <c r="F386" s="21">
        <v>37350</v>
      </c>
      <c r="G386" s="22">
        <v>45659</v>
      </c>
      <c r="H386" t="s">
        <v>286</v>
      </c>
      <c r="I386" t="s">
        <v>6</v>
      </c>
      <c r="J386" t="s">
        <v>66</v>
      </c>
      <c r="L386" t="s">
        <v>203</v>
      </c>
    </row>
    <row r="387" spans="1:13" hidden="1" x14ac:dyDescent="0.2">
      <c r="A387">
        <v>3</v>
      </c>
      <c r="C387" t="s">
        <v>252</v>
      </c>
      <c r="D387">
        <v>11</v>
      </c>
      <c r="E387" t="s">
        <v>253</v>
      </c>
      <c r="F387" s="21">
        <v>37350</v>
      </c>
      <c r="G387" s="22">
        <v>45659</v>
      </c>
      <c r="H387" t="s">
        <v>282</v>
      </c>
      <c r="I387" t="s">
        <v>30</v>
      </c>
      <c r="J387" t="s">
        <v>71</v>
      </c>
      <c r="K387" t="s">
        <v>74</v>
      </c>
      <c r="L387" t="s">
        <v>203</v>
      </c>
    </row>
    <row r="388" spans="1:13" hidden="1" x14ac:dyDescent="0.2">
      <c r="A388">
        <v>3</v>
      </c>
      <c r="C388" t="s">
        <v>252</v>
      </c>
      <c r="D388">
        <v>11</v>
      </c>
      <c r="E388" t="s">
        <v>253</v>
      </c>
      <c r="F388" s="21">
        <v>37350</v>
      </c>
      <c r="G388" s="22">
        <v>45659</v>
      </c>
      <c r="H388" t="s">
        <v>285</v>
      </c>
      <c r="I388" t="s">
        <v>200</v>
      </c>
      <c r="L388" t="s">
        <v>204</v>
      </c>
    </row>
    <row r="389" spans="1:13" hidden="1" x14ac:dyDescent="0.2">
      <c r="A389">
        <v>3</v>
      </c>
      <c r="C389" t="s">
        <v>252</v>
      </c>
      <c r="D389">
        <v>11</v>
      </c>
      <c r="E389" t="s">
        <v>253</v>
      </c>
      <c r="F389" s="21">
        <v>37350</v>
      </c>
      <c r="G389" s="22">
        <v>45659</v>
      </c>
      <c r="H389" t="s">
        <v>292</v>
      </c>
      <c r="I389" t="s">
        <v>38</v>
      </c>
      <c r="J389" t="s">
        <v>66</v>
      </c>
      <c r="K389" t="s">
        <v>72</v>
      </c>
      <c r="L389" t="s">
        <v>203</v>
      </c>
    </row>
    <row r="390" spans="1:13" hidden="1" x14ac:dyDescent="0.2">
      <c r="A390">
        <v>3</v>
      </c>
      <c r="C390" t="s">
        <v>252</v>
      </c>
      <c r="D390">
        <v>11</v>
      </c>
      <c r="E390" t="s">
        <v>253</v>
      </c>
      <c r="F390" s="21">
        <v>37350</v>
      </c>
      <c r="G390" s="22">
        <v>45659</v>
      </c>
      <c r="H390" t="s">
        <v>292</v>
      </c>
      <c r="I390" t="s">
        <v>12</v>
      </c>
      <c r="J390" t="s">
        <v>66</v>
      </c>
      <c r="K390" t="s">
        <v>75</v>
      </c>
      <c r="L390" t="s">
        <v>203</v>
      </c>
      <c r="M390" t="s">
        <v>268</v>
      </c>
    </row>
    <row r="391" spans="1:13" hidden="1" x14ac:dyDescent="0.2">
      <c r="A391">
        <v>3</v>
      </c>
      <c r="C391" t="s">
        <v>252</v>
      </c>
      <c r="D391">
        <v>11</v>
      </c>
      <c r="E391" t="s">
        <v>253</v>
      </c>
      <c r="F391" s="21">
        <v>37350</v>
      </c>
      <c r="G391" s="22">
        <v>45659</v>
      </c>
      <c r="H391" t="s">
        <v>292</v>
      </c>
      <c r="I391" t="s">
        <v>6</v>
      </c>
      <c r="J391" t="s">
        <v>66</v>
      </c>
      <c r="K391" t="s">
        <v>75</v>
      </c>
      <c r="L391" t="s">
        <v>203</v>
      </c>
    </row>
    <row r="392" spans="1:13" hidden="1" x14ac:dyDescent="0.2">
      <c r="A392">
        <v>3</v>
      </c>
      <c r="C392" t="s">
        <v>252</v>
      </c>
      <c r="D392">
        <v>11</v>
      </c>
      <c r="E392" t="s">
        <v>253</v>
      </c>
      <c r="F392" s="21">
        <v>37350</v>
      </c>
      <c r="G392" s="22">
        <v>45659</v>
      </c>
      <c r="H392" t="s">
        <v>293</v>
      </c>
      <c r="I392" t="s">
        <v>12</v>
      </c>
      <c r="J392" t="s">
        <v>64</v>
      </c>
      <c r="K392" t="s">
        <v>69</v>
      </c>
      <c r="L392" t="s">
        <v>204</v>
      </c>
    </row>
    <row r="393" spans="1:13" hidden="1" x14ac:dyDescent="0.2">
      <c r="A393">
        <v>3</v>
      </c>
      <c r="C393" t="s">
        <v>252</v>
      </c>
      <c r="D393">
        <v>11</v>
      </c>
      <c r="E393" t="s">
        <v>253</v>
      </c>
      <c r="F393" s="21">
        <v>37350</v>
      </c>
      <c r="G393" s="22">
        <v>45659</v>
      </c>
      <c r="H393" t="s">
        <v>282</v>
      </c>
      <c r="I393" t="s">
        <v>76</v>
      </c>
      <c r="J393" t="s">
        <v>64</v>
      </c>
      <c r="K393" t="s">
        <v>65</v>
      </c>
      <c r="L393" t="s">
        <v>202</v>
      </c>
      <c r="M393" t="s">
        <v>269</v>
      </c>
    </row>
    <row r="394" spans="1:13" hidden="1" x14ac:dyDescent="0.2">
      <c r="A394">
        <v>3</v>
      </c>
      <c r="C394" t="s">
        <v>252</v>
      </c>
      <c r="D394">
        <v>11</v>
      </c>
      <c r="E394" t="s">
        <v>253</v>
      </c>
      <c r="F394" s="21">
        <v>37350</v>
      </c>
      <c r="G394">
        <v>45659</v>
      </c>
      <c r="H394" t="s">
        <v>280</v>
      </c>
      <c r="I394" t="s">
        <v>40</v>
      </c>
      <c r="J394" t="s">
        <v>64</v>
      </c>
      <c r="K394" t="s">
        <v>65</v>
      </c>
      <c r="L394" t="s">
        <v>202</v>
      </c>
    </row>
    <row r="395" spans="1:13" hidden="1" x14ac:dyDescent="0.2">
      <c r="A395">
        <v>3</v>
      </c>
      <c r="C395" t="s">
        <v>252</v>
      </c>
      <c r="D395">
        <v>11</v>
      </c>
      <c r="E395" t="s">
        <v>253</v>
      </c>
      <c r="F395" s="21">
        <v>37350</v>
      </c>
      <c r="G395" s="22">
        <v>45659</v>
      </c>
      <c r="H395" t="s">
        <v>286</v>
      </c>
      <c r="I395" t="s">
        <v>200</v>
      </c>
      <c r="J395" t="s">
        <v>68</v>
      </c>
      <c r="K395" t="s">
        <v>75</v>
      </c>
      <c r="L395" t="s">
        <v>204</v>
      </c>
    </row>
    <row r="396" spans="1:13" hidden="1" x14ac:dyDescent="0.2">
      <c r="A396">
        <v>3</v>
      </c>
      <c r="C396" t="s">
        <v>252</v>
      </c>
      <c r="D396">
        <v>11</v>
      </c>
      <c r="E396" t="s">
        <v>253</v>
      </c>
      <c r="F396" s="21">
        <v>37350</v>
      </c>
      <c r="G396" s="22">
        <v>45659</v>
      </c>
      <c r="H396" t="s">
        <v>294</v>
      </c>
      <c r="I396" t="s">
        <v>76</v>
      </c>
      <c r="J396" t="s">
        <v>68</v>
      </c>
      <c r="K396" t="s">
        <v>65</v>
      </c>
      <c r="L396" t="s">
        <v>202</v>
      </c>
      <c r="M396" t="s">
        <v>270</v>
      </c>
    </row>
    <row r="397" spans="1:13" hidden="1" x14ac:dyDescent="0.2">
      <c r="A397">
        <v>3</v>
      </c>
      <c r="C397" t="s">
        <v>252</v>
      </c>
      <c r="D397">
        <v>11</v>
      </c>
      <c r="E397" t="s">
        <v>253</v>
      </c>
      <c r="F397" s="21">
        <v>37350</v>
      </c>
      <c r="G397" s="22">
        <v>45659</v>
      </c>
      <c r="H397" t="s">
        <v>286</v>
      </c>
      <c r="I397" t="s">
        <v>200</v>
      </c>
      <c r="J397" t="s">
        <v>68</v>
      </c>
      <c r="K397" t="s">
        <v>73</v>
      </c>
      <c r="L397" t="s">
        <v>203</v>
      </c>
    </row>
    <row r="398" spans="1:13" hidden="1" x14ac:dyDescent="0.2">
      <c r="A398">
        <v>3</v>
      </c>
      <c r="C398" t="s">
        <v>252</v>
      </c>
      <c r="D398">
        <v>11</v>
      </c>
      <c r="E398" t="s">
        <v>253</v>
      </c>
      <c r="F398" s="21">
        <v>37350</v>
      </c>
      <c r="G398" s="22">
        <v>45659</v>
      </c>
      <c r="H398" t="s">
        <v>293</v>
      </c>
      <c r="I398" t="s">
        <v>30</v>
      </c>
      <c r="J398" t="s">
        <v>66</v>
      </c>
      <c r="K398" t="s">
        <v>73</v>
      </c>
      <c r="L398" t="s">
        <v>203</v>
      </c>
      <c r="M398" t="s">
        <v>271</v>
      </c>
    </row>
    <row r="399" spans="1:13" hidden="1" x14ac:dyDescent="0.2">
      <c r="A399">
        <v>3</v>
      </c>
      <c r="C399" t="s">
        <v>252</v>
      </c>
      <c r="D399">
        <v>11</v>
      </c>
      <c r="E399" t="s">
        <v>253</v>
      </c>
      <c r="F399" s="21">
        <v>37350</v>
      </c>
      <c r="G399">
        <v>45659</v>
      </c>
      <c r="H399" t="s">
        <v>280</v>
      </c>
      <c r="I399" t="s">
        <v>40</v>
      </c>
      <c r="J399" t="s">
        <v>66</v>
      </c>
      <c r="L399" t="s">
        <v>203</v>
      </c>
    </row>
    <row r="400" spans="1:13" hidden="1" x14ac:dyDescent="0.2">
      <c r="A400">
        <v>3</v>
      </c>
      <c r="C400" t="s">
        <v>252</v>
      </c>
      <c r="D400">
        <v>11</v>
      </c>
      <c r="E400" t="s">
        <v>253</v>
      </c>
      <c r="F400" s="21">
        <v>37350</v>
      </c>
      <c r="G400" s="22">
        <v>45659</v>
      </c>
      <c r="H400" t="s">
        <v>279</v>
      </c>
      <c r="I400" t="s">
        <v>12</v>
      </c>
      <c r="J400" t="s">
        <v>71</v>
      </c>
      <c r="K400" t="s">
        <v>78</v>
      </c>
      <c r="L400" t="s">
        <v>204</v>
      </c>
      <c r="M400" t="s">
        <v>272</v>
      </c>
    </row>
    <row r="401" spans="1:13" hidden="1" x14ac:dyDescent="0.2">
      <c r="A401">
        <v>3</v>
      </c>
      <c r="C401" t="s">
        <v>252</v>
      </c>
      <c r="D401">
        <v>11</v>
      </c>
      <c r="E401" t="s">
        <v>253</v>
      </c>
      <c r="F401" s="21">
        <v>37350</v>
      </c>
      <c r="G401" s="22">
        <v>45659</v>
      </c>
      <c r="H401" t="s">
        <v>279</v>
      </c>
      <c r="I401" t="s">
        <v>14</v>
      </c>
      <c r="J401" t="s">
        <v>64</v>
      </c>
      <c r="K401" t="s">
        <v>78</v>
      </c>
      <c r="L401" t="s">
        <v>204</v>
      </c>
    </row>
    <row r="402" spans="1:13" hidden="1" x14ac:dyDescent="0.2">
      <c r="A402">
        <v>3</v>
      </c>
      <c r="C402" t="s">
        <v>252</v>
      </c>
      <c r="D402">
        <v>11</v>
      </c>
      <c r="E402" t="s">
        <v>253</v>
      </c>
      <c r="F402" s="21">
        <v>37350</v>
      </c>
      <c r="G402" s="22">
        <v>45659</v>
      </c>
      <c r="H402" t="s">
        <v>294</v>
      </c>
      <c r="I402" t="s">
        <v>30</v>
      </c>
      <c r="J402" t="s">
        <v>71</v>
      </c>
      <c r="K402" t="s">
        <v>73</v>
      </c>
      <c r="L402" t="s">
        <v>203</v>
      </c>
      <c r="M402" t="s">
        <v>271</v>
      </c>
    </row>
    <row r="403" spans="1:13" hidden="1" x14ac:dyDescent="0.2">
      <c r="A403">
        <v>3</v>
      </c>
      <c r="C403" t="s">
        <v>252</v>
      </c>
      <c r="D403">
        <v>11</v>
      </c>
      <c r="E403" t="s">
        <v>253</v>
      </c>
      <c r="F403" s="21">
        <v>37350</v>
      </c>
      <c r="G403" s="22">
        <v>45690</v>
      </c>
      <c r="H403" t="s">
        <v>294</v>
      </c>
      <c r="I403" t="s">
        <v>6</v>
      </c>
      <c r="J403" t="s">
        <v>64</v>
      </c>
      <c r="K403" t="s">
        <v>73</v>
      </c>
      <c r="L403" t="s">
        <v>203</v>
      </c>
    </row>
    <row r="404" spans="1:13" hidden="1" x14ac:dyDescent="0.2">
      <c r="A404">
        <v>3</v>
      </c>
      <c r="C404" t="s">
        <v>252</v>
      </c>
      <c r="D404">
        <v>11</v>
      </c>
      <c r="E404" t="s">
        <v>253</v>
      </c>
      <c r="F404" s="21">
        <v>37350</v>
      </c>
      <c r="G404" s="22">
        <v>45690</v>
      </c>
      <c r="H404" t="s">
        <v>285</v>
      </c>
      <c r="I404" t="s">
        <v>200</v>
      </c>
      <c r="J404" t="s">
        <v>71</v>
      </c>
      <c r="K404" t="s">
        <v>75</v>
      </c>
      <c r="L404" t="s">
        <v>204</v>
      </c>
    </row>
    <row r="405" spans="1:13" hidden="1" x14ac:dyDescent="0.2">
      <c r="A405">
        <v>3</v>
      </c>
      <c r="C405" t="s">
        <v>252</v>
      </c>
      <c r="D405">
        <v>11</v>
      </c>
      <c r="E405" t="s">
        <v>253</v>
      </c>
      <c r="F405" s="21">
        <v>37350</v>
      </c>
      <c r="G405" s="22">
        <v>45690</v>
      </c>
      <c r="H405" t="s">
        <v>288</v>
      </c>
      <c r="I405" t="s">
        <v>199</v>
      </c>
      <c r="J405" t="s">
        <v>68</v>
      </c>
      <c r="L405" t="s">
        <v>203</v>
      </c>
    </row>
    <row r="406" spans="1:13" hidden="1" x14ac:dyDescent="0.2">
      <c r="A406">
        <v>3</v>
      </c>
      <c r="C406" t="s">
        <v>252</v>
      </c>
      <c r="D406">
        <v>11</v>
      </c>
      <c r="E406" t="s">
        <v>253</v>
      </c>
      <c r="F406" s="21">
        <v>37350</v>
      </c>
      <c r="G406" s="22">
        <v>45690</v>
      </c>
      <c r="H406" t="s">
        <v>281</v>
      </c>
      <c r="I406" t="s">
        <v>40</v>
      </c>
      <c r="L406" t="s">
        <v>203</v>
      </c>
    </row>
    <row r="407" spans="1:13" hidden="1" x14ac:dyDescent="0.2">
      <c r="A407">
        <v>3</v>
      </c>
      <c r="C407" t="s">
        <v>252</v>
      </c>
      <c r="D407">
        <v>11</v>
      </c>
      <c r="E407" t="s">
        <v>253</v>
      </c>
      <c r="F407" s="21">
        <v>37350</v>
      </c>
      <c r="G407" s="22">
        <v>45690</v>
      </c>
      <c r="H407" t="s">
        <v>294</v>
      </c>
      <c r="I407" t="s">
        <v>6</v>
      </c>
      <c r="J407" t="s">
        <v>66</v>
      </c>
      <c r="L407" t="s">
        <v>203</v>
      </c>
    </row>
    <row r="408" spans="1:13" hidden="1" x14ac:dyDescent="0.2">
      <c r="A408">
        <v>3</v>
      </c>
      <c r="C408" t="s">
        <v>252</v>
      </c>
      <c r="D408">
        <v>11</v>
      </c>
      <c r="E408" t="s">
        <v>253</v>
      </c>
      <c r="F408" s="21">
        <v>37350</v>
      </c>
      <c r="G408" s="22">
        <v>45690</v>
      </c>
      <c r="H408" t="s">
        <v>290</v>
      </c>
      <c r="I408" t="s">
        <v>6</v>
      </c>
      <c r="J408" t="s">
        <v>66</v>
      </c>
      <c r="L408" t="s">
        <v>203</v>
      </c>
    </row>
    <row r="409" spans="1:13" hidden="1" x14ac:dyDescent="0.2">
      <c r="A409">
        <v>3</v>
      </c>
      <c r="C409" t="s">
        <v>252</v>
      </c>
      <c r="D409">
        <v>11</v>
      </c>
      <c r="E409" t="s">
        <v>253</v>
      </c>
      <c r="F409" s="21">
        <v>37350</v>
      </c>
      <c r="G409" s="22">
        <v>45690</v>
      </c>
      <c r="H409" t="s">
        <v>285</v>
      </c>
      <c r="I409" t="s">
        <v>9</v>
      </c>
      <c r="J409" t="s">
        <v>66</v>
      </c>
      <c r="K409" t="s">
        <v>75</v>
      </c>
      <c r="L409" t="s">
        <v>204</v>
      </c>
    </row>
    <row r="410" spans="1:13" hidden="1" x14ac:dyDescent="0.2">
      <c r="A410">
        <v>3</v>
      </c>
      <c r="C410" t="s">
        <v>252</v>
      </c>
      <c r="D410">
        <v>11</v>
      </c>
      <c r="E410" t="s">
        <v>253</v>
      </c>
      <c r="F410" s="21">
        <v>37350</v>
      </c>
      <c r="G410" s="22">
        <v>45690</v>
      </c>
      <c r="H410" t="s">
        <v>282</v>
      </c>
      <c r="I410" t="s">
        <v>76</v>
      </c>
      <c r="J410" t="s">
        <v>64</v>
      </c>
      <c r="L410" t="s">
        <v>202</v>
      </c>
    </row>
    <row r="411" spans="1:13" hidden="1" x14ac:dyDescent="0.2">
      <c r="A411">
        <v>3</v>
      </c>
      <c r="C411" t="s">
        <v>252</v>
      </c>
      <c r="D411">
        <v>11</v>
      </c>
      <c r="E411" t="s">
        <v>253</v>
      </c>
      <c r="F411" s="21">
        <v>37350</v>
      </c>
      <c r="G411" s="22">
        <v>45690</v>
      </c>
      <c r="H411" t="s">
        <v>286</v>
      </c>
      <c r="L411" t="s">
        <v>203</v>
      </c>
      <c r="M411" t="s">
        <v>273</v>
      </c>
    </row>
    <row r="412" spans="1:13" hidden="1" x14ac:dyDescent="0.2">
      <c r="A412">
        <v>3</v>
      </c>
      <c r="C412" t="s">
        <v>252</v>
      </c>
      <c r="D412">
        <v>11</v>
      </c>
      <c r="E412" t="s">
        <v>253</v>
      </c>
      <c r="F412" s="21">
        <v>37350</v>
      </c>
      <c r="G412">
        <v>45690</v>
      </c>
      <c r="H412" t="s">
        <v>280</v>
      </c>
      <c r="I412" t="s">
        <v>200</v>
      </c>
      <c r="J412" t="s">
        <v>71</v>
      </c>
      <c r="K412" t="s">
        <v>75</v>
      </c>
      <c r="L412" t="s">
        <v>204</v>
      </c>
    </row>
    <row r="413" spans="1:13" hidden="1" x14ac:dyDescent="0.2">
      <c r="A413">
        <v>3</v>
      </c>
      <c r="C413" t="s">
        <v>252</v>
      </c>
      <c r="D413">
        <v>11</v>
      </c>
      <c r="E413" t="s">
        <v>253</v>
      </c>
      <c r="F413" s="21">
        <v>37350</v>
      </c>
      <c r="G413" s="22">
        <v>45690</v>
      </c>
      <c r="H413" t="s">
        <v>292</v>
      </c>
      <c r="I413" t="s">
        <v>38</v>
      </c>
      <c r="J413" t="s">
        <v>66</v>
      </c>
      <c r="K413" t="s">
        <v>73</v>
      </c>
      <c r="L413" t="s">
        <v>203</v>
      </c>
      <c r="M413" t="s">
        <v>230</v>
      </c>
    </row>
    <row r="414" spans="1:13" hidden="1" x14ac:dyDescent="0.2">
      <c r="A414">
        <v>3</v>
      </c>
      <c r="C414" t="s">
        <v>252</v>
      </c>
      <c r="D414">
        <v>11</v>
      </c>
      <c r="E414" t="s">
        <v>253</v>
      </c>
      <c r="F414" s="21">
        <v>37350</v>
      </c>
      <c r="G414" s="22">
        <v>45690</v>
      </c>
      <c r="H414" t="s">
        <v>288</v>
      </c>
      <c r="I414" t="s">
        <v>199</v>
      </c>
      <c r="J414" t="s">
        <v>68</v>
      </c>
      <c r="L414" t="s">
        <v>203</v>
      </c>
    </row>
    <row r="415" spans="1:13" hidden="1" x14ac:dyDescent="0.2">
      <c r="A415">
        <v>3</v>
      </c>
      <c r="C415" t="s">
        <v>252</v>
      </c>
      <c r="D415">
        <v>11</v>
      </c>
      <c r="E415" t="s">
        <v>253</v>
      </c>
      <c r="F415" s="21">
        <v>37350</v>
      </c>
      <c r="G415" s="22">
        <v>45690</v>
      </c>
      <c r="H415" t="s">
        <v>288</v>
      </c>
      <c r="I415" t="s">
        <v>30</v>
      </c>
      <c r="J415" t="s">
        <v>71</v>
      </c>
      <c r="K415" t="s">
        <v>65</v>
      </c>
      <c r="L415" t="s">
        <v>203</v>
      </c>
    </row>
    <row r="416" spans="1:13" hidden="1" x14ac:dyDescent="0.2">
      <c r="A416">
        <v>3</v>
      </c>
      <c r="C416" t="s">
        <v>252</v>
      </c>
      <c r="D416">
        <v>11</v>
      </c>
      <c r="E416" t="s">
        <v>253</v>
      </c>
      <c r="F416" s="21">
        <v>37350</v>
      </c>
      <c r="G416" s="22">
        <v>45690</v>
      </c>
      <c r="H416" t="s">
        <v>278</v>
      </c>
      <c r="I416" t="s">
        <v>200</v>
      </c>
      <c r="J416" t="s">
        <v>68</v>
      </c>
      <c r="L416" t="s">
        <v>202</v>
      </c>
    </row>
    <row r="417" spans="1:12" hidden="1" x14ac:dyDescent="0.2">
      <c r="A417">
        <v>3</v>
      </c>
      <c r="C417" t="s">
        <v>252</v>
      </c>
      <c r="D417">
        <v>11</v>
      </c>
      <c r="E417" t="s">
        <v>253</v>
      </c>
      <c r="F417" s="21">
        <v>37350</v>
      </c>
      <c r="G417" s="22">
        <v>45690</v>
      </c>
      <c r="H417" t="s">
        <v>278</v>
      </c>
      <c r="I417" t="s">
        <v>200</v>
      </c>
      <c r="J417" t="s">
        <v>68</v>
      </c>
      <c r="L417" t="s">
        <v>202</v>
      </c>
    </row>
    <row r="418" spans="1:12" hidden="1" x14ac:dyDescent="0.2">
      <c r="A418">
        <v>3</v>
      </c>
      <c r="C418" t="s">
        <v>252</v>
      </c>
      <c r="D418">
        <v>11</v>
      </c>
      <c r="E418" t="s">
        <v>253</v>
      </c>
      <c r="F418" s="21">
        <v>37350</v>
      </c>
      <c r="G418" s="22">
        <v>45690</v>
      </c>
      <c r="H418" t="s">
        <v>293</v>
      </c>
      <c r="I418" t="s">
        <v>76</v>
      </c>
      <c r="J418" t="s">
        <v>64</v>
      </c>
      <c r="K418" t="s">
        <v>74</v>
      </c>
      <c r="L418" t="s">
        <v>203</v>
      </c>
    </row>
    <row r="419" spans="1:12" hidden="1" x14ac:dyDescent="0.2">
      <c r="A419">
        <v>3</v>
      </c>
      <c r="C419" t="s">
        <v>252</v>
      </c>
      <c r="D419">
        <v>11</v>
      </c>
      <c r="E419" t="s">
        <v>253</v>
      </c>
      <c r="F419" s="21">
        <v>37350</v>
      </c>
      <c r="G419" s="22">
        <v>45690</v>
      </c>
      <c r="H419" t="s">
        <v>288</v>
      </c>
      <c r="I419" t="s">
        <v>30</v>
      </c>
      <c r="J419" t="s">
        <v>71</v>
      </c>
      <c r="K419" t="s">
        <v>65</v>
      </c>
      <c r="L419" t="s">
        <v>203</v>
      </c>
    </row>
    <row r="420" spans="1:12" hidden="1" x14ac:dyDescent="0.2">
      <c r="A420">
        <v>3</v>
      </c>
      <c r="C420" t="s">
        <v>252</v>
      </c>
      <c r="D420">
        <v>11</v>
      </c>
      <c r="E420" t="s">
        <v>253</v>
      </c>
      <c r="F420" s="21">
        <v>37350</v>
      </c>
      <c r="G420" s="22">
        <v>45690</v>
      </c>
      <c r="H420" t="s">
        <v>288</v>
      </c>
      <c r="I420" t="s">
        <v>9</v>
      </c>
      <c r="J420" t="s">
        <v>66</v>
      </c>
      <c r="K420" t="s">
        <v>73</v>
      </c>
      <c r="L420" t="s">
        <v>203</v>
      </c>
    </row>
    <row r="421" spans="1:12" hidden="1" x14ac:dyDescent="0.2">
      <c r="A421">
        <v>3</v>
      </c>
      <c r="C421" t="s">
        <v>252</v>
      </c>
      <c r="D421">
        <v>11</v>
      </c>
      <c r="E421" t="s">
        <v>253</v>
      </c>
      <c r="F421" s="21">
        <v>37350</v>
      </c>
      <c r="G421" s="22">
        <v>45690</v>
      </c>
      <c r="H421" t="s">
        <v>294</v>
      </c>
      <c r="I421" t="s">
        <v>261</v>
      </c>
      <c r="J421" t="s">
        <v>64</v>
      </c>
      <c r="K421" t="s">
        <v>67</v>
      </c>
      <c r="L421" t="s">
        <v>202</v>
      </c>
    </row>
    <row r="422" spans="1:12" hidden="1" x14ac:dyDescent="0.2">
      <c r="A422">
        <v>3</v>
      </c>
      <c r="C422" t="s">
        <v>252</v>
      </c>
      <c r="D422">
        <v>11</v>
      </c>
      <c r="E422" t="s">
        <v>253</v>
      </c>
      <c r="F422" s="21">
        <v>37350</v>
      </c>
      <c r="G422">
        <v>45690</v>
      </c>
      <c r="H422" t="s">
        <v>280</v>
      </c>
      <c r="I422" t="s">
        <v>200</v>
      </c>
      <c r="J422" t="s">
        <v>68</v>
      </c>
      <c r="L422" t="s">
        <v>202</v>
      </c>
    </row>
    <row r="423" spans="1:12" hidden="1" x14ac:dyDescent="0.2">
      <c r="A423">
        <v>3</v>
      </c>
      <c r="C423" t="s">
        <v>252</v>
      </c>
      <c r="D423">
        <v>11</v>
      </c>
      <c r="E423" t="s">
        <v>253</v>
      </c>
      <c r="F423" s="21">
        <v>37350</v>
      </c>
      <c r="G423" s="22">
        <v>45690</v>
      </c>
      <c r="H423" t="s">
        <v>288</v>
      </c>
      <c r="I423" t="s">
        <v>6</v>
      </c>
      <c r="J423" t="s">
        <v>64</v>
      </c>
      <c r="K423" t="s">
        <v>67</v>
      </c>
      <c r="L423" t="s">
        <v>203</v>
      </c>
    </row>
    <row r="424" spans="1:12" hidden="1" x14ac:dyDescent="0.2">
      <c r="A424">
        <v>3</v>
      </c>
      <c r="C424" t="s">
        <v>252</v>
      </c>
      <c r="D424">
        <v>11</v>
      </c>
      <c r="E424" t="s">
        <v>253</v>
      </c>
      <c r="F424" s="21">
        <v>37350</v>
      </c>
      <c r="G424" s="22">
        <v>45690</v>
      </c>
      <c r="H424" t="s">
        <v>288</v>
      </c>
      <c r="I424" t="s">
        <v>76</v>
      </c>
      <c r="L424" t="s">
        <v>203</v>
      </c>
    </row>
    <row r="425" spans="1:12" hidden="1" x14ac:dyDescent="0.2">
      <c r="A425">
        <v>3</v>
      </c>
      <c r="C425" t="s">
        <v>252</v>
      </c>
      <c r="D425">
        <v>11</v>
      </c>
      <c r="E425" t="s">
        <v>253</v>
      </c>
      <c r="F425" s="21">
        <v>37350</v>
      </c>
      <c r="G425" s="22">
        <v>45690</v>
      </c>
      <c r="H425" t="s">
        <v>281</v>
      </c>
      <c r="I425" t="s">
        <v>38</v>
      </c>
      <c r="J425" t="s">
        <v>66</v>
      </c>
      <c r="K425" t="s">
        <v>72</v>
      </c>
      <c r="L425" t="s">
        <v>202</v>
      </c>
    </row>
    <row r="426" spans="1:12" hidden="1" x14ac:dyDescent="0.2">
      <c r="A426">
        <v>3</v>
      </c>
      <c r="C426" t="s">
        <v>252</v>
      </c>
      <c r="D426">
        <v>11</v>
      </c>
      <c r="E426" t="s">
        <v>253</v>
      </c>
      <c r="F426" s="21">
        <v>37350</v>
      </c>
      <c r="G426" s="22">
        <v>45690</v>
      </c>
      <c r="H426" t="s">
        <v>278</v>
      </c>
      <c r="I426" t="s">
        <v>200</v>
      </c>
      <c r="J426" t="s">
        <v>71</v>
      </c>
      <c r="L426" t="s">
        <v>202</v>
      </c>
    </row>
    <row r="427" spans="1:12" hidden="1" x14ac:dyDescent="0.2">
      <c r="A427">
        <v>3</v>
      </c>
      <c r="C427" t="s">
        <v>252</v>
      </c>
      <c r="D427">
        <v>11</v>
      </c>
      <c r="E427" t="s">
        <v>253</v>
      </c>
      <c r="F427" s="21">
        <v>37350</v>
      </c>
      <c r="G427" s="22">
        <v>45690</v>
      </c>
      <c r="H427" t="s">
        <v>286</v>
      </c>
      <c r="I427" t="s">
        <v>12</v>
      </c>
      <c r="J427" t="s">
        <v>64</v>
      </c>
      <c r="L427" t="s">
        <v>203</v>
      </c>
    </row>
    <row r="428" spans="1:12" hidden="1" x14ac:dyDescent="0.2">
      <c r="A428">
        <v>3</v>
      </c>
      <c r="C428" t="s">
        <v>252</v>
      </c>
      <c r="D428">
        <v>11</v>
      </c>
      <c r="E428" t="s">
        <v>253</v>
      </c>
      <c r="F428" s="21">
        <v>37350</v>
      </c>
      <c r="G428" s="22">
        <v>45690</v>
      </c>
      <c r="H428" t="s">
        <v>294</v>
      </c>
      <c r="I428" t="s">
        <v>200</v>
      </c>
      <c r="J428" t="s">
        <v>64</v>
      </c>
      <c r="K428" t="s">
        <v>69</v>
      </c>
      <c r="L428" t="s">
        <v>202</v>
      </c>
    </row>
    <row r="429" spans="1:12" hidden="1" x14ac:dyDescent="0.2">
      <c r="A429">
        <v>3</v>
      </c>
      <c r="C429" t="s">
        <v>252</v>
      </c>
      <c r="D429">
        <v>11</v>
      </c>
      <c r="E429" t="s">
        <v>253</v>
      </c>
      <c r="F429" s="21">
        <v>37350</v>
      </c>
      <c r="G429" s="22">
        <v>45690</v>
      </c>
      <c r="H429" t="s">
        <v>294</v>
      </c>
      <c r="I429" t="s">
        <v>76</v>
      </c>
      <c r="J429" t="s">
        <v>66</v>
      </c>
      <c r="K429" t="s">
        <v>74</v>
      </c>
      <c r="L429" t="s">
        <v>203</v>
      </c>
    </row>
    <row r="430" spans="1:12" hidden="1" x14ac:dyDescent="0.2">
      <c r="A430">
        <v>3</v>
      </c>
      <c r="C430" t="s">
        <v>252</v>
      </c>
      <c r="D430">
        <v>11</v>
      </c>
      <c r="E430" t="s">
        <v>253</v>
      </c>
      <c r="F430" s="21">
        <v>37350</v>
      </c>
      <c r="G430" s="22">
        <v>45690</v>
      </c>
      <c r="H430" t="s">
        <v>294</v>
      </c>
      <c r="I430" t="s">
        <v>30</v>
      </c>
      <c r="J430" t="s">
        <v>71</v>
      </c>
      <c r="K430" t="s">
        <v>65</v>
      </c>
      <c r="L430" t="s">
        <v>202</v>
      </c>
    </row>
    <row r="431" spans="1:12" hidden="1" x14ac:dyDescent="0.2">
      <c r="A431">
        <v>3</v>
      </c>
      <c r="C431" t="s">
        <v>252</v>
      </c>
      <c r="D431">
        <v>11</v>
      </c>
      <c r="E431" t="s">
        <v>253</v>
      </c>
      <c r="F431" s="21">
        <v>37350</v>
      </c>
      <c r="G431" s="22">
        <v>45690</v>
      </c>
      <c r="H431" t="s">
        <v>288</v>
      </c>
      <c r="I431" t="s">
        <v>6</v>
      </c>
      <c r="J431" t="s">
        <v>66</v>
      </c>
      <c r="L431" t="s">
        <v>203</v>
      </c>
    </row>
    <row r="432" spans="1:12" hidden="1" x14ac:dyDescent="0.2">
      <c r="A432">
        <v>3</v>
      </c>
      <c r="C432" t="s">
        <v>252</v>
      </c>
      <c r="D432">
        <v>11</v>
      </c>
      <c r="E432" t="s">
        <v>253</v>
      </c>
      <c r="F432" s="21">
        <v>37350</v>
      </c>
      <c r="G432" s="22">
        <v>45690</v>
      </c>
      <c r="H432" t="s">
        <v>293</v>
      </c>
      <c r="I432" t="s">
        <v>6</v>
      </c>
      <c r="J432" t="s">
        <v>66</v>
      </c>
      <c r="L432" t="s">
        <v>203</v>
      </c>
    </row>
    <row r="433" spans="1:13" hidden="1" x14ac:dyDescent="0.2">
      <c r="A433">
        <v>3</v>
      </c>
      <c r="C433" t="s">
        <v>252</v>
      </c>
      <c r="D433">
        <v>11</v>
      </c>
      <c r="E433" t="s">
        <v>253</v>
      </c>
      <c r="F433" s="21">
        <v>37350</v>
      </c>
      <c r="G433" s="22">
        <v>45690</v>
      </c>
      <c r="H433" t="s">
        <v>294</v>
      </c>
      <c r="I433" t="s">
        <v>32</v>
      </c>
      <c r="J433" t="s">
        <v>71</v>
      </c>
      <c r="K433" t="s">
        <v>65</v>
      </c>
      <c r="L433" t="s">
        <v>202</v>
      </c>
    </row>
    <row r="434" spans="1:13" hidden="1" x14ac:dyDescent="0.2">
      <c r="A434">
        <v>3</v>
      </c>
      <c r="C434" t="s">
        <v>252</v>
      </c>
      <c r="D434">
        <v>11</v>
      </c>
      <c r="E434" t="s">
        <v>253</v>
      </c>
      <c r="F434" s="21">
        <v>37350</v>
      </c>
      <c r="G434" s="22">
        <v>45718</v>
      </c>
      <c r="H434" t="s">
        <v>279</v>
      </c>
      <c r="I434" t="s">
        <v>14</v>
      </c>
      <c r="J434" t="s">
        <v>64</v>
      </c>
      <c r="K434" t="s">
        <v>78</v>
      </c>
      <c r="L434" t="s">
        <v>204</v>
      </c>
    </row>
    <row r="435" spans="1:13" hidden="1" x14ac:dyDescent="0.2">
      <c r="A435">
        <v>3</v>
      </c>
      <c r="C435" t="s">
        <v>252</v>
      </c>
      <c r="D435">
        <v>11</v>
      </c>
      <c r="E435" t="s">
        <v>253</v>
      </c>
      <c r="F435" s="21">
        <v>37350</v>
      </c>
      <c r="G435" s="22">
        <v>45718</v>
      </c>
      <c r="H435" t="s">
        <v>294</v>
      </c>
      <c r="I435" t="s">
        <v>200</v>
      </c>
      <c r="J435" t="s">
        <v>68</v>
      </c>
      <c r="K435" t="s">
        <v>74</v>
      </c>
      <c r="L435" t="s">
        <v>203</v>
      </c>
    </row>
    <row r="436" spans="1:13" hidden="1" x14ac:dyDescent="0.2">
      <c r="A436">
        <v>3</v>
      </c>
      <c r="C436" t="s">
        <v>252</v>
      </c>
      <c r="D436">
        <v>11</v>
      </c>
      <c r="E436" t="s">
        <v>253</v>
      </c>
      <c r="F436" s="21">
        <v>37350</v>
      </c>
      <c r="G436" s="22">
        <v>45718</v>
      </c>
      <c r="H436" t="s">
        <v>294</v>
      </c>
      <c r="I436" t="s">
        <v>36</v>
      </c>
      <c r="J436" t="s">
        <v>68</v>
      </c>
      <c r="K436" t="s">
        <v>74</v>
      </c>
      <c r="L436" t="s">
        <v>203</v>
      </c>
      <c r="M436" t="s">
        <v>274</v>
      </c>
    </row>
    <row r="437" spans="1:13" hidden="1" x14ac:dyDescent="0.2">
      <c r="A437">
        <v>3</v>
      </c>
      <c r="C437" t="s">
        <v>252</v>
      </c>
      <c r="D437">
        <v>11</v>
      </c>
      <c r="E437" t="s">
        <v>253</v>
      </c>
      <c r="F437" s="21">
        <v>37350</v>
      </c>
      <c r="G437" s="22">
        <v>45718</v>
      </c>
      <c r="H437" t="s">
        <v>294</v>
      </c>
      <c r="I437" t="s">
        <v>200</v>
      </c>
      <c r="J437" t="s">
        <v>71</v>
      </c>
      <c r="K437" t="s">
        <v>73</v>
      </c>
      <c r="L437" t="s">
        <v>203</v>
      </c>
    </row>
    <row r="438" spans="1:13" hidden="1" x14ac:dyDescent="0.2">
      <c r="A438">
        <v>3</v>
      </c>
      <c r="C438" t="s">
        <v>252</v>
      </c>
      <c r="D438">
        <v>11</v>
      </c>
      <c r="E438" t="s">
        <v>253</v>
      </c>
      <c r="F438" s="21">
        <v>37350</v>
      </c>
      <c r="G438" s="22">
        <v>45718</v>
      </c>
      <c r="H438" t="s">
        <v>293</v>
      </c>
      <c r="I438" t="s">
        <v>6</v>
      </c>
      <c r="J438" t="s">
        <v>66</v>
      </c>
      <c r="L438" t="s">
        <v>203</v>
      </c>
    </row>
    <row r="439" spans="1:13" hidden="1" x14ac:dyDescent="0.2">
      <c r="A439">
        <v>3</v>
      </c>
      <c r="C439" t="s">
        <v>252</v>
      </c>
      <c r="D439">
        <v>11</v>
      </c>
      <c r="E439" t="s">
        <v>253</v>
      </c>
      <c r="F439" s="21">
        <v>37350</v>
      </c>
      <c r="G439" s="22">
        <v>45718</v>
      </c>
      <c r="H439" t="s">
        <v>279</v>
      </c>
      <c r="I439" t="s">
        <v>6</v>
      </c>
      <c r="J439" t="s">
        <v>66</v>
      </c>
      <c r="L439" t="s">
        <v>203</v>
      </c>
    </row>
    <row r="440" spans="1:13" hidden="1" x14ac:dyDescent="0.2">
      <c r="A440">
        <v>3</v>
      </c>
      <c r="C440" t="s">
        <v>252</v>
      </c>
      <c r="D440">
        <v>11</v>
      </c>
      <c r="E440" t="s">
        <v>253</v>
      </c>
      <c r="F440" s="21">
        <v>37350</v>
      </c>
      <c r="G440" s="22">
        <v>45718</v>
      </c>
      <c r="H440" t="s">
        <v>293</v>
      </c>
      <c r="I440" t="s">
        <v>261</v>
      </c>
      <c r="J440" t="s">
        <v>64</v>
      </c>
      <c r="L440" t="s">
        <v>204</v>
      </c>
      <c r="M440">
        <v>3</v>
      </c>
    </row>
    <row r="441" spans="1:13" hidden="1" x14ac:dyDescent="0.2">
      <c r="A441">
        <v>3</v>
      </c>
      <c r="C441" t="s">
        <v>252</v>
      </c>
      <c r="D441">
        <v>11</v>
      </c>
      <c r="E441" t="s">
        <v>253</v>
      </c>
      <c r="F441" s="21">
        <v>37350</v>
      </c>
      <c r="G441" s="22">
        <v>45718</v>
      </c>
      <c r="H441" t="s">
        <v>288</v>
      </c>
      <c r="I441" t="s">
        <v>6</v>
      </c>
      <c r="J441" t="s">
        <v>66</v>
      </c>
      <c r="K441" t="s">
        <v>75</v>
      </c>
      <c r="L441" t="s">
        <v>203</v>
      </c>
    </row>
    <row r="442" spans="1:13" hidden="1" x14ac:dyDescent="0.2">
      <c r="A442">
        <v>3</v>
      </c>
      <c r="C442" t="s">
        <v>252</v>
      </c>
      <c r="D442">
        <v>11</v>
      </c>
      <c r="E442" t="s">
        <v>253</v>
      </c>
      <c r="F442" s="21">
        <v>37350</v>
      </c>
      <c r="G442">
        <v>45718</v>
      </c>
      <c r="H442" t="s">
        <v>280</v>
      </c>
      <c r="I442" t="s">
        <v>23</v>
      </c>
      <c r="L442" t="s">
        <v>204</v>
      </c>
    </row>
    <row r="443" spans="1:13" hidden="1" x14ac:dyDescent="0.2">
      <c r="A443">
        <v>3</v>
      </c>
      <c r="C443" t="s">
        <v>252</v>
      </c>
      <c r="D443">
        <v>11</v>
      </c>
      <c r="E443" t="s">
        <v>253</v>
      </c>
      <c r="F443" s="21">
        <v>37350</v>
      </c>
      <c r="G443" s="22">
        <v>45718</v>
      </c>
      <c r="H443" t="s">
        <v>293</v>
      </c>
      <c r="I443" t="s">
        <v>261</v>
      </c>
      <c r="J443" t="s">
        <v>64</v>
      </c>
      <c r="L443" t="s">
        <v>204</v>
      </c>
      <c r="M443">
        <v>2</v>
      </c>
    </row>
    <row r="444" spans="1:13" hidden="1" x14ac:dyDescent="0.2">
      <c r="A444">
        <v>3</v>
      </c>
      <c r="C444" t="s">
        <v>252</v>
      </c>
      <c r="D444">
        <v>11</v>
      </c>
      <c r="E444" t="s">
        <v>253</v>
      </c>
      <c r="F444" s="21">
        <v>37350</v>
      </c>
      <c r="G444" s="22">
        <v>45718</v>
      </c>
      <c r="H444" t="s">
        <v>288</v>
      </c>
      <c r="I444" t="s">
        <v>6</v>
      </c>
      <c r="J444" t="s">
        <v>66</v>
      </c>
      <c r="L444" t="s">
        <v>203</v>
      </c>
    </row>
    <row r="445" spans="1:13" hidden="1" x14ac:dyDescent="0.2">
      <c r="A445">
        <v>3</v>
      </c>
      <c r="C445" t="s">
        <v>252</v>
      </c>
      <c r="D445">
        <v>11</v>
      </c>
      <c r="E445" t="s">
        <v>253</v>
      </c>
      <c r="F445" s="21">
        <v>37350</v>
      </c>
      <c r="G445" s="22">
        <v>45718</v>
      </c>
      <c r="H445" t="s">
        <v>288</v>
      </c>
      <c r="I445" t="s">
        <v>200</v>
      </c>
      <c r="J445" t="s">
        <v>66</v>
      </c>
      <c r="K445" t="s">
        <v>73</v>
      </c>
      <c r="L445" t="s">
        <v>203</v>
      </c>
    </row>
    <row r="446" spans="1:13" hidden="1" x14ac:dyDescent="0.2">
      <c r="A446">
        <v>3</v>
      </c>
      <c r="C446" t="s">
        <v>252</v>
      </c>
      <c r="D446">
        <v>11</v>
      </c>
      <c r="E446" t="s">
        <v>253</v>
      </c>
      <c r="F446" s="21">
        <v>37350</v>
      </c>
      <c r="G446" s="22">
        <v>45718</v>
      </c>
      <c r="H446" t="s">
        <v>288</v>
      </c>
      <c r="I446" t="s">
        <v>6</v>
      </c>
      <c r="J446" t="s">
        <v>66</v>
      </c>
      <c r="K446" t="s">
        <v>73</v>
      </c>
      <c r="L446" t="s">
        <v>203</v>
      </c>
    </row>
    <row r="447" spans="1:13" hidden="1" x14ac:dyDescent="0.2">
      <c r="A447">
        <v>3</v>
      </c>
      <c r="C447" t="s">
        <v>252</v>
      </c>
      <c r="D447">
        <v>11</v>
      </c>
      <c r="E447" t="s">
        <v>253</v>
      </c>
      <c r="F447" s="21">
        <v>37350</v>
      </c>
      <c r="G447" s="22">
        <v>45718</v>
      </c>
      <c r="H447" t="s">
        <v>284</v>
      </c>
      <c r="I447" t="s">
        <v>30</v>
      </c>
      <c r="J447" t="s">
        <v>71</v>
      </c>
      <c r="K447" t="s">
        <v>65</v>
      </c>
      <c r="L447" t="s">
        <v>202</v>
      </c>
    </row>
    <row r="448" spans="1:13" hidden="1" x14ac:dyDescent="0.2">
      <c r="A448">
        <v>3</v>
      </c>
      <c r="C448" t="s">
        <v>252</v>
      </c>
      <c r="D448">
        <v>11</v>
      </c>
      <c r="E448" t="s">
        <v>253</v>
      </c>
      <c r="F448" s="21">
        <v>37350</v>
      </c>
      <c r="G448" s="22">
        <v>45718</v>
      </c>
      <c r="H448" t="s">
        <v>279</v>
      </c>
      <c r="I448" t="s">
        <v>200</v>
      </c>
      <c r="J448" t="s">
        <v>68</v>
      </c>
      <c r="L448" t="s">
        <v>204</v>
      </c>
    </row>
    <row r="449" spans="1:13" hidden="1" x14ac:dyDescent="0.2">
      <c r="A449">
        <v>3</v>
      </c>
      <c r="C449" t="s">
        <v>252</v>
      </c>
      <c r="D449">
        <v>11</v>
      </c>
      <c r="E449" t="s">
        <v>253</v>
      </c>
      <c r="F449" s="21">
        <v>37350</v>
      </c>
      <c r="G449" s="22">
        <v>45718</v>
      </c>
      <c r="H449" t="s">
        <v>288</v>
      </c>
      <c r="I449" t="s">
        <v>30</v>
      </c>
      <c r="J449" t="s">
        <v>71</v>
      </c>
      <c r="L449" t="s">
        <v>202</v>
      </c>
    </row>
    <row r="450" spans="1:13" hidden="1" x14ac:dyDescent="0.2">
      <c r="A450">
        <v>3</v>
      </c>
      <c r="C450" t="s">
        <v>252</v>
      </c>
      <c r="D450">
        <v>11</v>
      </c>
      <c r="E450" t="s">
        <v>253</v>
      </c>
      <c r="F450" s="21">
        <v>37350</v>
      </c>
      <c r="G450" s="22">
        <v>45718</v>
      </c>
      <c r="H450" t="s">
        <v>284</v>
      </c>
      <c r="I450" t="s">
        <v>200</v>
      </c>
      <c r="J450" t="s">
        <v>68</v>
      </c>
      <c r="K450" t="s">
        <v>65</v>
      </c>
      <c r="L450" t="s">
        <v>202</v>
      </c>
    </row>
    <row r="451" spans="1:13" hidden="1" x14ac:dyDescent="0.2">
      <c r="A451">
        <v>3</v>
      </c>
      <c r="C451" t="s">
        <v>252</v>
      </c>
      <c r="D451">
        <v>11</v>
      </c>
      <c r="E451" t="s">
        <v>253</v>
      </c>
      <c r="F451" s="21">
        <v>37350</v>
      </c>
      <c r="G451" s="22">
        <v>45718</v>
      </c>
      <c r="H451" t="s">
        <v>284</v>
      </c>
      <c r="I451" t="s">
        <v>30</v>
      </c>
      <c r="J451" t="s">
        <v>68</v>
      </c>
      <c r="K451" t="s">
        <v>72</v>
      </c>
      <c r="L451" t="s">
        <v>202</v>
      </c>
    </row>
    <row r="452" spans="1:13" hidden="1" x14ac:dyDescent="0.2">
      <c r="A452">
        <v>3</v>
      </c>
      <c r="C452" t="s">
        <v>252</v>
      </c>
      <c r="D452">
        <v>11</v>
      </c>
      <c r="E452" t="s">
        <v>253</v>
      </c>
      <c r="F452" s="21">
        <v>37350</v>
      </c>
      <c r="G452" s="22">
        <v>45718</v>
      </c>
      <c r="H452" t="s">
        <v>288</v>
      </c>
      <c r="I452" t="s">
        <v>200</v>
      </c>
      <c r="J452" t="s">
        <v>68</v>
      </c>
      <c r="K452" t="s">
        <v>73</v>
      </c>
      <c r="L452" t="s">
        <v>203</v>
      </c>
    </row>
    <row r="453" spans="1:13" hidden="1" x14ac:dyDescent="0.2">
      <c r="A453">
        <v>3</v>
      </c>
      <c r="C453" t="s">
        <v>252</v>
      </c>
      <c r="D453">
        <v>11</v>
      </c>
      <c r="E453" t="s">
        <v>253</v>
      </c>
      <c r="F453" s="21">
        <v>37350</v>
      </c>
      <c r="G453" s="22">
        <v>45718</v>
      </c>
      <c r="H453" t="s">
        <v>285</v>
      </c>
      <c r="I453" t="s">
        <v>40</v>
      </c>
      <c r="J453" t="s">
        <v>66</v>
      </c>
      <c r="K453" t="s">
        <v>75</v>
      </c>
      <c r="L453" t="s">
        <v>204</v>
      </c>
    </row>
    <row r="454" spans="1:13" hidden="1" x14ac:dyDescent="0.2">
      <c r="A454">
        <v>3</v>
      </c>
      <c r="C454" t="s">
        <v>252</v>
      </c>
      <c r="D454">
        <v>11</v>
      </c>
      <c r="E454" t="s">
        <v>253</v>
      </c>
      <c r="F454" s="21">
        <v>37350</v>
      </c>
      <c r="G454">
        <v>45718</v>
      </c>
      <c r="H454" t="s">
        <v>280</v>
      </c>
      <c r="I454" t="s">
        <v>40</v>
      </c>
      <c r="J454" t="s">
        <v>66</v>
      </c>
      <c r="K454" t="s">
        <v>74</v>
      </c>
      <c r="L454" t="s">
        <v>203</v>
      </c>
      <c r="M454" t="s">
        <v>275</v>
      </c>
    </row>
    <row r="455" spans="1:13" hidden="1" x14ac:dyDescent="0.2">
      <c r="A455">
        <v>3</v>
      </c>
      <c r="C455" t="s">
        <v>252</v>
      </c>
      <c r="D455">
        <v>11</v>
      </c>
      <c r="E455" t="s">
        <v>253</v>
      </c>
      <c r="F455" s="21">
        <v>37350</v>
      </c>
      <c r="G455" s="22">
        <v>45718</v>
      </c>
      <c r="H455" t="s">
        <v>286</v>
      </c>
      <c r="I455" t="s">
        <v>38</v>
      </c>
      <c r="J455" t="s">
        <v>66</v>
      </c>
      <c r="K455" t="s">
        <v>74</v>
      </c>
      <c r="L455" t="s">
        <v>203</v>
      </c>
    </row>
    <row r="456" spans="1:13" hidden="1" x14ac:dyDescent="0.2">
      <c r="A456">
        <v>3</v>
      </c>
      <c r="C456" t="s">
        <v>252</v>
      </c>
      <c r="D456">
        <v>11</v>
      </c>
      <c r="E456" t="s">
        <v>253</v>
      </c>
      <c r="F456" s="21">
        <v>37350</v>
      </c>
      <c r="G456" s="22">
        <v>45718</v>
      </c>
      <c r="H456" t="s">
        <v>288</v>
      </c>
      <c r="I456" t="s">
        <v>76</v>
      </c>
      <c r="J456" t="s">
        <v>66</v>
      </c>
      <c r="K456" t="s">
        <v>73</v>
      </c>
      <c r="L456" t="s">
        <v>203</v>
      </c>
    </row>
    <row r="457" spans="1:13" hidden="1" x14ac:dyDescent="0.2">
      <c r="A457">
        <v>3</v>
      </c>
      <c r="C457" t="s">
        <v>252</v>
      </c>
      <c r="D457">
        <v>11</v>
      </c>
      <c r="E457" t="s">
        <v>253</v>
      </c>
      <c r="F457" s="21">
        <v>37350</v>
      </c>
      <c r="G457" s="22">
        <v>45718</v>
      </c>
      <c r="H457" t="s">
        <v>288</v>
      </c>
      <c r="I457" t="s">
        <v>32</v>
      </c>
      <c r="J457" t="s">
        <v>64</v>
      </c>
      <c r="L457" t="s">
        <v>203</v>
      </c>
    </row>
    <row r="458" spans="1:13" hidden="1" x14ac:dyDescent="0.2">
      <c r="A458">
        <v>3</v>
      </c>
      <c r="C458" t="s">
        <v>252</v>
      </c>
      <c r="D458">
        <v>11</v>
      </c>
      <c r="E458" t="s">
        <v>253</v>
      </c>
      <c r="F458" s="21">
        <v>37350</v>
      </c>
      <c r="G458" s="22">
        <v>45718</v>
      </c>
      <c r="H458" t="s">
        <v>286</v>
      </c>
      <c r="I458" t="s">
        <v>32</v>
      </c>
      <c r="J458" t="s">
        <v>64</v>
      </c>
      <c r="L458" t="s">
        <v>203</v>
      </c>
    </row>
    <row r="459" spans="1:13" hidden="1" x14ac:dyDescent="0.2">
      <c r="A459">
        <v>3</v>
      </c>
      <c r="C459" t="s">
        <v>252</v>
      </c>
      <c r="D459">
        <v>11</v>
      </c>
      <c r="E459" t="s">
        <v>253</v>
      </c>
      <c r="F459" s="21">
        <v>37350</v>
      </c>
      <c r="G459" s="22">
        <v>45718</v>
      </c>
      <c r="H459" t="s">
        <v>279</v>
      </c>
      <c r="I459" t="s">
        <v>32</v>
      </c>
      <c r="J459" t="s">
        <v>64</v>
      </c>
      <c r="L459" t="s">
        <v>203</v>
      </c>
    </row>
    <row r="460" spans="1:13" hidden="1" x14ac:dyDescent="0.2">
      <c r="A460">
        <v>3</v>
      </c>
      <c r="C460" t="s">
        <v>252</v>
      </c>
      <c r="D460">
        <v>11</v>
      </c>
      <c r="E460" t="s">
        <v>253</v>
      </c>
      <c r="F460" s="21">
        <v>37350</v>
      </c>
      <c r="G460" s="22">
        <v>45718</v>
      </c>
      <c r="H460" t="s">
        <v>286</v>
      </c>
      <c r="I460" t="s">
        <v>12</v>
      </c>
      <c r="J460" t="s">
        <v>64</v>
      </c>
      <c r="L460" t="s">
        <v>203</v>
      </c>
    </row>
    <row r="461" spans="1:13" hidden="1" x14ac:dyDescent="0.2">
      <c r="A461">
        <v>3</v>
      </c>
      <c r="C461" t="s">
        <v>252</v>
      </c>
      <c r="D461">
        <v>11</v>
      </c>
      <c r="E461" t="s">
        <v>253</v>
      </c>
      <c r="F461" s="21">
        <v>37350</v>
      </c>
      <c r="G461" s="22">
        <v>45718</v>
      </c>
      <c r="H461" t="s">
        <v>288</v>
      </c>
      <c r="I461" t="s">
        <v>32</v>
      </c>
      <c r="J461" t="s">
        <v>64</v>
      </c>
      <c r="L461" t="s">
        <v>203</v>
      </c>
    </row>
    <row r="462" spans="1:13" hidden="1" x14ac:dyDescent="0.2">
      <c r="A462">
        <v>3</v>
      </c>
      <c r="C462" t="s">
        <v>252</v>
      </c>
      <c r="D462">
        <v>11</v>
      </c>
      <c r="E462" t="s">
        <v>253</v>
      </c>
      <c r="F462" s="21">
        <v>37350</v>
      </c>
      <c r="G462" s="22">
        <v>45718</v>
      </c>
      <c r="H462" t="s">
        <v>288</v>
      </c>
      <c r="I462" t="s">
        <v>30</v>
      </c>
      <c r="J462" t="s">
        <v>64</v>
      </c>
      <c r="L462" t="s">
        <v>203</v>
      </c>
    </row>
    <row r="463" spans="1:13" hidden="1" x14ac:dyDescent="0.2">
      <c r="A463">
        <v>4</v>
      </c>
      <c r="B463" s="21">
        <v>45998</v>
      </c>
      <c r="C463" t="s">
        <v>303</v>
      </c>
      <c r="D463">
        <v>12</v>
      </c>
      <c r="E463" t="s">
        <v>253</v>
      </c>
      <c r="F463" s="21">
        <v>37350</v>
      </c>
      <c r="G463" s="22">
        <v>45658</v>
      </c>
      <c r="H463" t="s">
        <v>284</v>
      </c>
      <c r="I463" t="s">
        <v>200</v>
      </c>
      <c r="J463" t="s">
        <v>64</v>
      </c>
      <c r="K463" t="s">
        <v>73</v>
      </c>
      <c r="L463" t="s">
        <v>203</v>
      </c>
    </row>
    <row r="464" spans="1:13" hidden="1" x14ac:dyDescent="0.2">
      <c r="A464">
        <v>4</v>
      </c>
      <c r="B464" s="21">
        <v>45998</v>
      </c>
      <c r="C464" t="s">
        <v>303</v>
      </c>
      <c r="D464">
        <v>12</v>
      </c>
      <c r="E464" t="s">
        <v>253</v>
      </c>
      <c r="F464" s="21">
        <v>37350</v>
      </c>
      <c r="G464" s="22">
        <v>45658</v>
      </c>
      <c r="H464" t="s">
        <v>293</v>
      </c>
      <c r="I464" t="s">
        <v>6</v>
      </c>
      <c r="J464" t="s">
        <v>66</v>
      </c>
      <c r="K464" t="s">
        <v>74</v>
      </c>
      <c r="L464" t="s">
        <v>203</v>
      </c>
    </row>
    <row r="465" spans="1:12" hidden="1" x14ac:dyDescent="0.2">
      <c r="A465">
        <v>4</v>
      </c>
      <c r="B465" s="21">
        <v>45998</v>
      </c>
      <c r="C465" t="s">
        <v>303</v>
      </c>
      <c r="D465">
        <v>12</v>
      </c>
      <c r="E465" t="s">
        <v>253</v>
      </c>
      <c r="F465" s="21">
        <v>37350</v>
      </c>
      <c r="G465" s="22">
        <v>45658</v>
      </c>
      <c r="H465" t="s">
        <v>292</v>
      </c>
      <c r="I465" t="s">
        <v>9</v>
      </c>
      <c r="J465" t="s">
        <v>66</v>
      </c>
      <c r="K465" t="s">
        <v>74</v>
      </c>
      <c r="L465" t="s">
        <v>203</v>
      </c>
    </row>
    <row r="466" spans="1:12" hidden="1" x14ac:dyDescent="0.2">
      <c r="A466">
        <v>4</v>
      </c>
      <c r="B466" s="21">
        <v>45998</v>
      </c>
      <c r="C466" t="s">
        <v>303</v>
      </c>
      <c r="D466">
        <v>12</v>
      </c>
      <c r="E466" t="s">
        <v>253</v>
      </c>
      <c r="F466" s="21">
        <v>37350</v>
      </c>
      <c r="G466" s="22">
        <v>45658</v>
      </c>
      <c r="H466" t="s">
        <v>294</v>
      </c>
      <c r="I466" t="s">
        <v>200</v>
      </c>
      <c r="J466" t="s">
        <v>71</v>
      </c>
      <c r="K466" t="s">
        <v>74</v>
      </c>
      <c r="L466" t="s">
        <v>203</v>
      </c>
    </row>
    <row r="467" spans="1:12" hidden="1" x14ac:dyDescent="0.2">
      <c r="A467">
        <v>4</v>
      </c>
      <c r="B467" s="21">
        <v>45998</v>
      </c>
      <c r="C467" t="s">
        <v>303</v>
      </c>
      <c r="D467">
        <v>12</v>
      </c>
      <c r="E467" t="s">
        <v>253</v>
      </c>
      <c r="F467" s="21">
        <v>37350</v>
      </c>
      <c r="G467" s="22">
        <v>45658</v>
      </c>
      <c r="H467" t="s">
        <v>279</v>
      </c>
      <c r="I467" t="s">
        <v>36</v>
      </c>
      <c r="J467" t="s">
        <v>66</v>
      </c>
      <c r="K467" t="s">
        <v>73</v>
      </c>
      <c r="L467" t="s">
        <v>203</v>
      </c>
    </row>
    <row r="468" spans="1:12" hidden="1" x14ac:dyDescent="0.2">
      <c r="A468">
        <v>4</v>
      </c>
      <c r="B468" s="21">
        <v>45998</v>
      </c>
      <c r="C468" t="s">
        <v>303</v>
      </c>
      <c r="D468">
        <v>12</v>
      </c>
      <c r="E468" t="s">
        <v>253</v>
      </c>
      <c r="F468" s="21">
        <v>37350</v>
      </c>
      <c r="G468" s="22">
        <v>45658</v>
      </c>
      <c r="H468" t="s">
        <v>293</v>
      </c>
      <c r="I468" t="s">
        <v>6</v>
      </c>
      <c r="J468" t="s">
        <v>66</v>
      </c>
      <c r="K468" t="s">
        <v>74</v>
      </c>
      <c r="L468" t="s">
        <v>203</v>
      </c>
    </row>
    <row r="469" spans="1:12" hidden="1" x14ac:dyDescent="0.2">
      <c r="A469">
        <v>4</v>
      </c>
      <c r="B469" s="21">
        <v>45998</v>
      </c>
      <c r="C469" t="s">
        <v>303</v>
      </c>
      <c r="D469">
        <v>12</v>
      </c>
      <c r="E469" t="s">
        <v>253</v>
      </c>
      <c r="F469" s="21">
        <v>37350</v>
      </c>
      <c r="G469" s="22">
        <v>45658</v>
      </c>
      <c r="H469" t="s">
        <v>292</v>
      </c>
      <c r="I469" t="s">
        <v>40</v>
      </c>
      <c r="J469" t="s">
        <v>66</v>
      </c>
      <c r="K469" t="s">
        <v>73</v>
      </c>
      <c r="L469" t="s">
        <v>203</v>
      </c>
    </row>
    <row r="470" spans="1:12" hidden="1" x14ac:dyDescent="0.2">
      <c r="A470">
        <v>4</v>
      </c>
      <c r="B470" s="21">
        <v>45998</v>
      </c>
      <c r="C470" t="s">
        <v>303</v>
      </c>
      <c r="D470">
        <v>12</v>
      </c>
      <c r="E470" t="s">
        <v>253</v>
      </c>
      <c r="F470" s="21">
        <v>37350</v>
      </c>
      <c r="G470" s="22">
        <v>45658</v>
      </c>
      <c r="H470" t="s">
        <v>294</v>
      </c>
      <c r="I470" t="s">
        <v>200</v>
      </c>
      <c r="J470" t="s">
        <v>66</v>
      </c>
      <c r="K470" t="s">
        <v>74</v>
      </c>
      <c r="L470" t="s">
        <v>203</v>
      </c>
    </row>
    <row r="471" spans="1:12" hidden="1" x14ac:dyDescent="0.2">
      <c r="A471">
        <v>4</v>
      </c>
      <c r="B471" s="21">
        <v>45998</v>
      </c>
      <c r="C471" t="s">
        <v>303</v>
      </c>
      <c r="D471">
        <v>12</v>
      </c>
      <c r="E471" t="s">
        <v>253</v>
      </c>
      <c r="F471" s="21">
        <v>37350</v>
      </c>
      <c r="G471" s="22">
        <v>45658</v>
      </c>
      <c r="H471" t="s">
        <v>294</v>
      </c>
      <c r="I471" t="s">
        <v>6</v>
      </c>
      <c r="J471" t="s">
        <v>64</v>
      </c>
      <c r="K471" t="s">
        <v>74</v>
      </c>
      <c r="L471" t="s">
        <v>203</v>
      </c>
    </row>
    <row r="472" spans="1:12" hidden="1" x14ac:dyDescent="0.2">
      <c r="A472">
        <v>4</v>
      </c>
      <c r="B472" s="21">
        <v>45998</v>
      </c>
      <c r="C472" t="s">
        <v>303</v>
      </c>
      <c r="D472">
        <v>12</v>
      </c>
      <c r="E472" t="s">
        <v>253</v>
      </c>
      <c r="F472" s="21">
        <v>37350</v>
      </c>
      <c r="G472" s="22">
        <v>45658</v>
      </c>
      <c r="H472" t="s">
        <v>294</v>
      </c>
      <c r="I472" t="s">
        <v>6</v>
      </c>
      <c r="J472" t="s">
        <v>66</v>
      </c>
      <c r="K472" t="s">
        <v>74</v>
      </c>
      <c r="L472" t="s">
        <v>203</v>
      </c>
    </row>
    <row r="473" spans="1:12" hidden="1" x14ac:dyDescent="0.2">
      <c r="A473">
        <v>4</v>
      </c>
      <c r="B473" s="21">
        <v>45998</v>
      </c>
      <c r="C473" t="s">
        <v>303</v>
      </c>
      <c r="D473">
        <v>12</v>
      </c>
      <c r="E473" t="s">
        <v>253</v>
      </c>
      <c r="F473" s="21">
        <v>37350</v>
      </c>
      <c r="G473" s="22">
        <v>45658</v>
      </c>
      <c r="H473" t="s">
        <v>290</v>
      </c>
      <c r="I473" t="s">
        <v>6</v>
      </c>
      <c r="J473" t="s">
        <v>66</v>
      </c>
      <c r="K473" t="s">
        <v>74</v>
      </c>
      <c r="L473" t="s">
        <v>203</v>
      </c>
    </row>
    <row r="474" spans="1:12" hidden="1" x14ac:dyDescent="0.2">
      <c r="A474">
        <v>4</v>
      </c>
      <c r="B474" s="21">
        <v>45998</v>
      </c>
      <c r="C474" t="s">
        <v>303</v>
      </c>
      <c r="D474">
        <v>12</v>
      </c>
      <c r="E474" t="s">
        <v>253</v>
      </c>
      <c r="F474" s="21">
        <v>37350</v>
      </c>
      <c r="G474" s="22">
        <v>45658</v>
      </c>
      <c r="H474" t="s">
        <v>294</v>
      </c>
      <c r="I474" t="s">
        <v>9</v>
      </c>
      <c r="J474" t="s">
        <v>66</v>
      </c>
      <c r="K474" t="s">
        <v>73</v>
      </c>
      <c r="L474" t="s">
        <v>203</v>
      </c>
    </row>
    <row r="475" spans="1:12" hidden="1" x14ac:dyDescent="0.2">
      <c r="A475">
        <v>4</v>
      </c>
      <c r="B475" s="21">
        <v>45998</v>
      </c>
      <c r="C475" t="s">
        <v>303</v>
      </c>
      <c r="D475">
        <v>12</v>
      </c>
      <c r="E475" t="s">
        <v>253</v>
      </c>
      <c r="F475" s="21">
        <v>37350</v>
      </c>
      <c r="G475" s="22">
        <v>45658</v>
      </c>
      <c r="H475" t="s">
        <v>293</v>
      </c>
      <c r="I475" t="s">
        <v>40</v>
      </c>
      <c r="J475" t="s">
        <v>66</v>
      </c>
      <c r="K475" t="s">
        <v>73</v>
      </c>
      <c r="L475" t="s">
        <v>203</v>
      </c>
    </row>
    <row r="476" spans="1:12" hidden="1" x14ac:dyDescent="0.2">
      <c r="A476">
        <v>4</v>
      </c>
      <c r="B476" s="21">
        <v>45998</v>
      </c>
      <c r="C476" t="s">
        <v>303</v>
      </c>
      <c r="D476">
        <v>12</v>
      </c>
      <c r="E476" t="s">
        <v>253</v>
      </c>
      <c r="F476" s="21">
        <v>37350</v>
      </c>
      <c r="G476" s="22">
        <v>45658</v>
      </c>
      <c r="H476" t="s">
        <v>292</v>
      </c>
      <c r="I476" t="s">
        <v>14</v>
      </c>
      <c r="J476" t="s">
        <v>80</v>
      </c>
      <c r="K476" t="s">
        <v>78</v>
      </c>
      <c r="L476" t="s">
        <v>204</v>
      </c>
    </row>
    <row r="477" spans="1:12" hidden="1" x14ac:dyDescent="0.2">
      <c r="A477">
        <v>4</v>
      </c>
      <c r="B477" s="21">
        <v>45998</v>
      </c>
      <c r="C477" t="s">
        <v>303</v>
      </c>
      <c r="D477">
        <v>12</v>
      </c>
      <c r="E477" t="s">
        <v>253</v>
      </c>
      <c r="F477" s="21">
        <v>37350</v>
      </c>
      <c r="G477" s="22">
        <v>45658</v>
      </c>
      <c r="H477" t="s">
        <v>294</v>
      </c>
      <c r="I477" t="s">
        <v>205</v>
      </c>
      <c r="J477" t="s">
        <v>66</v>
      </c>
      <c r="K477" t="s">
        <v>72</v>
      </c>
      <c r="L477" t="s">
        <v>202</v>
      </c>
    </row>
    <row r="478" spans="1:12" hidden="1" x14ac:dyDescent="0.2">
      <c r="A478">
        <v>4</v>
      </c>
      <c r="B478" s="21">
        <v>45998</v>
      </c>
      <c r="C478" t="s">
        <v>303</v>
      </c>
      <c r="D478">
        <v>12</v>
      </c>
      <c r="E478" t="s">
        <v>253</v>
      </c>
      <c r="F478" s="21">
        <v>37350</v>
      </c>
      <c r="G478" s="22">
        <v>45658</v>
      </c>
      <c r="H478" t="s">
        <v>282</v>
      </c>
      <c r="I478" t="s">
        <v>205</v>
      </c>
      <c r="J478" t="s">
        <v>66</v>
      </c>
      <c r="K478" t="s">
        <v>67</v>
      </c>
      <c r="L478" t="s">
        <v>202</v>
      </c>
    </row>
    <row r="479" spans="1:12" hidden="1" x14ac:dyDescent="0.2">
      <c r="A479">
        <v>4</v>
      </c>
      <c r="B479" s="21">
        <v>45998</v>
      </c>
      <c r="C479" t="s">
        <v>303</v>
      </c>
      <c r="D479">
        <v>12</v>
      </c>
      <c r="E479" t="s">
        <v>253</v>
      </c>
      <c r="F479" s="21">
        <v>37350</v>
      </c>
      <c r="G479" s="22">
        <v>45658</v>
      </c>
      <c r="H479" t="s">
        <v>284</v>
      </c>
      <c r="I479" t="s">
        <v>200</v>
      </c>
      <c r="J479" t="s">
        <v>71</v>
      </c>
      <c r="K479" t="s">
        <v>74</v>
      </c>
      <c r="L479" t="s">
        <v>203</v>
      </c>
    </row>
    <row r="480" spans="1:12" hidden="1" x14ac:dyDescent="0.2">
      <c r="A480">
        <v>4</v>
      </c>
      <c r="B480" s="21">
        <v>45998</v>
      </c>
      <c r="C480" t="s">
        <v>303</v>
      </c>
      <c r="D480">
        <v>12</v>
      </c>
      <c r="E480" t="s">
        <v>253</v>
      </c>
      <c r="F480" s="21">
        <v>37350</v>
      </c>
      <c r="G480" s="22">
        <v>45658</v>
      </c>
      <c r="H480" t="s">
        <v>295</v>
      </c>
      <c r="I480" t="s">
        <v>200</v>
      </c>
      <c r="J480" t="s">
        <v>68</v>
      </c>
      <c r="K480" t="s">
        <v>74</v>
      </c>
      <c r="L480" t="s">
        <v>203</v>
      </c>
    </row>
    <row r="481" spans="1:13" hidden="1" x14ac:dyDescent="0.2">
      <c r="A481">
        <v>4</v>
      </c>
      <c r="B481" s="21">
        <v>45998</v>
      </c>
      <c r="C481" t="s">
        <v>303</v>
      </c>
      <c r="D481">
        <v>12</v>
      </c>
      <c r="E481" t="s">
        <v>253</v>
      </c>
      <c r="F481" s="21">
        <v>37350</v>
      </c>
      <c r="G481" s="22">
        <v>45658</v>
      </c>
      <c r="H481" t="s">
        <v>282</v>
      </c>
      <c r="I481" t="s">
        <v>200</v>
      </c>
      <c r="J481" t="s">
        <v>71</v>
      </c>
      <c r="K481" t="s">
        <v>67</v>
      </c>
      <c r="L481" t="s">
        <v>202</v>
      </c>
    </row>
    <row r="482" spans="1:13" hidden="1" x14ac:dyDescent="0.2">
      <c r="A482">
        <v>4</v>
      </c>
      <c r="B482" s="21">
        <v>45998</v>
      </c>
      <c r="C482" t="s">
        <v>303</v>
      </c>
      <c r="D482">
        <v>12</v>
      </c>
      <c r="E482" t="s">
        <v>253</v>
      </c>
      <c r="F482" s="21">
        <v>37350</v>
      </c>
      <c r="G482" s="22">
        <v>45658</v>
      </c>
      <c r="H482" t="s">
        <v>282</v>
      </c>
      <c r="I482" t="s">
        <v>200</v>
      </c>
      <c r="J482" t="s">
        <v>71</v>
      </c>
      <c r="K482" t="s">
        <v>67</v>
      </c>
      <c r="L482" t="s">
        <v>202</v>
      </c>
    </row>
    <row r="483" spans="1:13" hidden="1" x14ac:dyDescent="0.2">
      <c r="A483">
        <v>4</v>
      </c>
      <c r="B483" s="21">
        <v>45998</v>
      </c>
      <c r="C483" t="s">
        <v>303</v>
      </c>
      <c r="D483">
        <v>12</v>
      </c>
      <c r="E483" t="s">
        <v>253</v>
      </c>
      <c r="F483" s="21">
        <v>37350</v>
      </c>
      <c r="G483" s="22">
        <v>45658</v>
      </c>
      <c r="H483" t="s">
        <v>285</v>
      </c>
      <c r="I483" t="s">
        <v>200</v>
      </c>
      <c r="J483" t="s">
        <v>68</v>
      </c>
      <c r="K483" t="s">
        <v>315</v>
      </c>
      <c r="L483" t="s">
        <v>204</v>
      </c>
    </row>
    <row r="484" spans="1:13" hidden="1" x14ac:dyDescent="0.2">
      <c r="A484">
        <v>4</v>
      </c>
      <c r="B484" s="21">
        <v>45998</v>
      </c>
      <c r="C484" t="s">
        <v>303</v>
      </c>
      <c r="D484">
        <v>12</v>
      </c>
      <c r="E484" t="s">
        <v>253</v>
      </c>
      <c r="F484" s="21">
        <v>37350</v>
      </c>
      <c r="G484" s="22">
        <v>45658</v>
      </c>
      <c r="H484" t="s">
        <v>285</v>
      </c>
      <c r="I484" t="s">
        <v>32</v>
      </c>
      <c r="J484" t="s">
        <v>66</v>
      </c>
      <c r="K484" t="s">
        <v>75</v>
      </c>
      <c r="L484" t="s">
        <v>204</v>
      </c>
    </row>
    <row r="485" spans="1:13" hidden="1" x14ac:dyDescent="0.2">
      <c r="A485">
        <v>4</v>
      </c>
      <c r="B485" s="21">
        <v>45998</v>
      </c>
      <c r="C485" t="s">
        <v>303</v>
      </c>
      <c r="D485">
        <v>12</v>
      </c>
      <c r="E485" t="s">
        <v>253</v>
      </c>
      <c r="F485" s="21">
        <v>37350</v>
      </c>
      <c r="G485" s="22">
        <v>45658</v>
      </c>
      <c r="H485" t="s">
        <v>305</v>
      </c>
      <c r="I485" t="s">
        <v>261</v>
      </c>
      <c r="J485" t="s">
        <v>66</v>
      </c>
      <c r="K485" t="s">
        <v>75</v>
      </c>
      <c r="L485" t="s">
        <v>204</v>
      </c>
      <c r="M485" t="s">
        <v>308</v>
      </c>
    </row>
    <row r="486" spans="1:13" hidden="1" x14ac:dyDescent="0.2">
      <c r="A486">
        <v>4</v>
      </c>
      <c r="B486" s="21">
        <v>45998</v>
      </c>
      <c r="C486" t="s">
        <v>303</v>
      </c>
      <c r="D486">
        <v>12</v>
      </c>
      <c r="E486" t="s">
        <v>253</v>
      </c>
      <c r="F486" s="21">
        <v>37350</v>
      </c>
      <c r="G486" s="22">
        <v>45658</v>
      </c>
      <c r="H486" t="s">
        <v>290</v>
      </c>
      <c r="I486" t="s">
        <v>199</v>
      </c>
      <c r="J486" t="s">
        <v>71</v>
      </c>
      <c r="K486" t="s">
        <v>67</v>
      </c>
      <c r="L486" t="s">
        <v>202</v>
      </c>
    </row>
    <row r="487" spans="1:13" hidden="1" x14ac:dyDescent="0.2">
      <c r="A487">
        <v>4</v>
      </c>
      <c r="B487" s="21">
        <v>45998</v>
      </c>
      <c r="C487" t="s">
        <v>303</v>
      </c>
      <c r="D487">
        <v>12</v>
      </c>
      <c r="E487" t="s">
        <v>253</v>
      </c>
      <c r="F487" s="21">
        <v>37350</v>
      </c>
      <c r="G487" s="22">
        <v>45658</v>
      </c>
      <c r="H487" t="s">
        <v>294</v>
      </c>
      <c r="I487" t="s">
        <v>30</v>
      </c>
      <c r="J487" t="s">
        <v>71</v>
      </c>
      <c r="K487" t="s">
        <v>73</v>
      </c>
      <c r="L487" t="s">
        <v>203</v>
      </c>
    </row>
    <row r="488" spans="1:13" hidden="1" x14ac:dyDescent="0.2">
      <c r="A488">
        <v>4</v>
      </c>
      <c r="B488" s="21">
        <v>45998</v>
      </c>
      <c r="C488" t="s">
        <v>303</v>
      </c>
      <c r="D488">
        <v>12</v>
      </c>
      <c r="E488" t="s">
        <v>253</v>
      </c>
      <c r="F488" s="21">
        <v>37350</v>
      </c>
      <c r="G488" s="22">
        <v>45658</v>
      </c>
      <c r="H488" t="s">
        <v>294</v>
      </c>
      <c r="I488" t="s">
        <v>199</v>
      </c>
      <c r="J488" t="s">
        <v>71</v>
      </c>
      <c r="K488" t="s">
        <v>74</v>
      </c>
      <c r="L488" t="s">
        <v>203</v>
      </c>
    </row>
    <row r="489" spans="1:13" hidden="1" x14ac:dyDescent="0.2">
      <c r="A489">
        <v>4</v>
      </c>
      <c r="B489" s="21">
        <v>45998</v>
      </c>
      <c r="C489" t="s">
        <v>303</v>
      </c>
      <c r="D489">
        <v>12</v>
      </c>
      <c r="E489" t="s">
        <v>253</v>
      </c>
      <c r="F489" s="21">
        <v>37350</v>
      </c>
      <c r="G489" s="22">
        <v>45658</v>
      </c>
      <c r="H489" t="s">
        <v>295</v>
      </c>
      <c r="I489" t="s">
        <v>30</v>
      </c>
      <c r="J489" t="s">
        <v>66</v>
      </c>
      <c r="K489" t="s">
        <v>74</v>
      </c>
      <c r="L489" t="s">
        <v>203</v>
      </c>
    </row>
    <row r="490" spans="1:13" hidden="1" x14ac:dyDescent="0.2">
      <c r="A490">
        <v>4</v>
      </c>
      <c r="B490" s="21">
        <v>45998</v>
      </c>
      <c r="C490" t="s">
        <v>303</v>
      </c>
      <c r="D490">
        <v>12</v>
      </c>
      <c r="E490" t="s">
        <v>253</v>
      </c>
      <c r="F490" s="21">
        <v>37350</v>
      </c>
      <c r="G490" s="22">
        <v>45658</v>
      </c>
      <c r="H490" t="s">
        <v>282</v>
      </c>
      <c r="I490" t="s">
        <v>200</v>
      </c>
      <c r="J490" t="s">
        <v>71</v>
      </c>
      <c r="K490" t="s">
        <v>67</v>
      </c>
      <c r="L490" t="s">
        <v>202</v>
      </c>
    </row>
    <row r="491" spans="1:13" hidden="1" x14ac:dyDescent="0.2">
      <c r="A491">
        <v>4</v>
      </c>
      <c r="B491" s="21">
        <v>45998</v>
      </c>
      <c r="C491" t="s">
        <v>303</v>
      </c>
      <c r="D491">
        <v>12</v>
      </c>
      <c r="E491" t="s">
        <v>253</v>
      </c>
      <c r="F491" s="21">
        <v>37350</v>
      </c>
      <c r="G491" s="22">
        <v>45658</v>
      </c>
      <c r="H491" t="s">
        <v>295</v>
      </c>
      <c r="I491" t="s">
        <v>30</v>
      </c>
      <c r="J491" t="s">
        <v>71</v>
      </c>
      <c r="K491" t="s">
        <v>74</v>
      </c>
      <c r="L491" t="s">
        <v>203</v>
      </c>
    </row>
    <row r="492" spans="1:13" hidden="1" x14ac:dyDescent="0.2">
      <c r="A492">
        <v>4</v>
      </c>
      <c r="B492" s="21">
        <v>45998</v>
      </c>
      <c r="C492" t="s">
        <v>303</v>
      </c>
      <c r="D492">
        <v>12</v>
      </c>
      <c r="E492" t="s">
        <v>253</v>
      </c>
      <c r="F492" s="21">
        <v>37350</v>
      </c>
      <c r="G492" s="22">
        <v>45658</v>
      </c>
      <c r="H492" t="s">
        <v>295</v>
      </c>
      <c r="I492" t="s">
        <v>12</v>
      </c>
      <c r="J492" t="s">
        <v>71</v>
      </c>
      <c r="K492" t="s">
        <v>74</v>
      </c>
      <c r="L492" t="s">
        <v>203</v>
      </c>
      <c r="M492" t="s">
        <v>231</v>
      </c>
    </row>
    <row r="493" spans="1:13" hidden="1" x14ac:dyDescent="0.2">
      <c r="A493">
        <v>4</v>
      </c>
      <c r="B493" s="21">
        <v>45998</v>
      </c>
      <c r="C493" t="s">
        <v>303</v>
      </c>
      <c r="D493">
        <v>12</v>
      </c>
      <c r="E493" t="s">
        <v>253</v>
      </c>
      <c r="F493" s="21">
        <v>37350</v>
      </c>
      <c r="G493" s="22">
        <v>45658</v>
      </c>
      <c r="H493" t="s">
        <v>285</v>
      </c>
      <c r="I493" t="s">
        <v>200</v>
      </c>
      <c r="J493" t="s">
        <v>68</v>
      </c>
      <c r="K493" t="s">
        <v>78</v>
      </c>
      <c r="L493" t="s">
        <v>202</v>
      </c>
    </row>
    <row r="494" spans="1:13" hidden="1" x14ac:dyDescent="0.2">
      <c r="A494">
        <v>4</v>
      </c>
      <c r="B494" s="21">
        <v>45998</v>
      </c>
      <c r="C494" t="s">
        <v>303</v>
      </c>
      <c r="D494">
        <v>12</v>
      </c>
      <c r="E494" t="s">
        <v>253</v>
      </c>
      <c r="F494" s="21">
        <v>37350</v>
      </c>
      <c r="G494" s="22">
        <v>45658</v>
      </c>
      <c r="H494" t="s">
        <v>282</v>
      </c>
      <c r="I494" t="s">
        <v>200</v>
      </c>
      <c r="J494" t="s">
        <v>68</v>
      </c>
      <c r="K494" t="s">
        <v>67</v>
      </c>
      <c r="L494" t="s">
        <v>202</v>
      </c>
      <c r="M494" t="s">
        <v>265</v>
      </c>
    </row>
    <row r="495" spans="1:13" hidden="1" x14ac:dyDescent="0.2">
      <c r="A495">
        <v>4</v>
      </c>
      <c r="B495" s="21">
        <v>45998</v>
      </c>
      <c r="C495" t="s">
        <v>303</v>
      </c>
      <c r="D495">
        <v>12</v>
      </c>
      <c r="E495" t="s">
        <v>253</v>
      </c>
      <c r="F495" s="21">
        <v>37350</v>
      </c>
      <c r="G495" s="22">
        <v>45658</v>
      </c>
      <c r="H495" t="s">
        <v>292</v>
      </c>
      <c r="I495" t="s">
        <v>200</v>
      </c>
      <c r="J495" t="s">
        <v>71</v>
      </c>
      <c r="K495" t="s">
        <v>73</v>
      </c>
      <c r="L495" t="s">
        <v>203</v>
      </c>
    </row>
    <row r="496" spans="1:13" hidden="1" x14ac:dyDescent="0.2">
      <c r="A496">
        <v>4</v>
      </c>
      <c r="B496" s="21">
        <v>45998</v>
      </c>
      <c r="C496" t="s">
        <v>303</v>
      </c>
      <c r="D496">
        <v>12</v>
      </c>
      <c r="E496" t="s">
        <v>253</v>
      </c>
      <c r="F496" s="21">
        <v>37350</v>
      </c>
      <c r="G496" s="22">
        <v>45658</v>
      </c>
      <c r="H496" t="s">
        <v>292</v>
      </c>
      <c r="I496" t="s">
        <v>38</v>
      </c>
      <c r="J496" t="s">
        <v>66</v>
      </c>
      <c r="K496" t="s">
        <v>73</v>
      </c>
      <c r="L496" t="s">
        <v>203</v>
      </c>
    </row>
    <row r="497" spans="1:12" hidden="1" x14ac:dyDescent="0.2">
      <c r="A497">
        <v>4</v>
      </c>
      <c r="B497" s="21">
        <v>45998</v>
      </c>
      <c r="C497" t="s">
        <v>303</v>
      </c>
      <c r="D497">
        <v>12</v>
      </c>
      <c r="E497" t="s">
        <v>253</v>
      </c>
      <c r="F497" s="21">
        <v>37350</v>
      </c>
      <c r="G497" s="22">
        <v>45658</v>
      </c>
      <c r="H497" t="s">
        <v>295</v>
      </c>
      <c r="I497" t="s">
        <v>200</v>
      </c>
      <c r="J497" t="s">
        <v>64</v>
      </c>
      <c r="K497" t="s">
        <v>78</v>
      </c>
      <c r="L497" t="s">
        <v>202</v>
      </c>
    </row>
    <row r="498" spans="1:12" hidden="1" x14ac:dyDescent="0.2">
      <c r="A498">
        <v>4</v>
      </c>
      <c r="B498" s="21">
        <v>45998</v>
      </c>
      <c r="C498" t="s">
        <v>303</v>
      </c>
      <c r="D498">
        <v>12</v>
      </c>
      <c r="E498" t="s">
        <v>253</v>
      </c>
      <c r="F498" s="21">
        <v>37350</v>
      </c>
      <c r="G498" s="22">
        <v>45658</v>
      </c>
      <c r="H498" t="s">
        <v>293</v>
      </c>
      <c r="I498" t="s">
        <v>200</v>
      </c>
      <c r="J498" t="s">
        <v>71</v>
      </c>
      <c r="K498" t="s">
        <v>73</v>
      </c>
      <c r="L498" t="s">
        <v>203</v>
      </c>
    </row>
    <row r="499" spans="1:12" hidden="1" x14ac:dyDescent="0.2">
      <c r="A499">
        <v>4</v>
      </c>
      <c r="B499" s="21">
        <v>45998</v>
      </c>
      <c r="C499" t="s">
        <v>303</v>
      </c>
      <c r="D499">
        <v>12</v>
      </c>
      <c r="E499" t="s">
        <v>253</v>
      </c>
      <c r="F499" s="21">
        <v>37350</v>
      </c>
      <c r="G499" s="22">
        <v>45658</v>
      </c>
      <c r="H499" t="s">
        <v>279</v>
      </c>
      <c r="I499" t="s">
        <v>12</v>
      </c>
      <c r="J499" t="s">
        <v>71</v>
      </c>
      <c r="K499" t="s">
        <v>75</v>
      </c>
      <c r="L499" t="s">
        <v>204</v>
      </c>
    </row>
    <row r="500" spans="1:12" hidden="1" x14ac:dyDescent="0.2">
      <c r="A500">
        <v>4</v>
      </c>
      <c r="B500" s="21">
        <v>45998</v>
      </c>
      <c r="C500" t="s">
        <v>303</v>
      </c>
      <c r="D500">
        <v>12</v>
      </c>
      <c r="E500" t="s">
        <v>253</v>
      </c>
      <c r="F500" s="21">
        <v>37350</v>
      </c>
      <c r="G500" s="22">
        <v>45658</v>
      </c>
      <c r="H500" t="s">
        <v>279</v>
      </c>
      <c r="I500" t="s">
        <v>12</v>
      </c>
      <c r="J500" t="s">
        <v>66</v>
      </c>
      <c r="K500" t="s">
        <v>75</v>
      </c>
      <c r="L500" t="s">
        <v>204</v>
      </c>
    </row>
    <row r="501" spans="1:12" hidden="1" x14ac:dyDescent="0.2">
      <c r="A501">
        <v>4</v>
      </c>
      <c r="B501" s="21">
        <v>45998</v>
      </c>
      <c r="C501" t="s">
        <v>303</v>
      </c>
      <c r="D501">
        <v>12</v>
      </c>
      <c r="E501" t="s">
        <v>253</v>
      </c>
      <c r="F501" s="21">
        <v>37350</v>
      </c>
      <c r="G501" s="22">
        <v>45658</v>
      </c>
      <c r="H501" t="s">
        <v>294</v>
      </c>
      <c r="I501" t="s">
        <v>200</v>
      </c>
      <c r="J501" t="s">
        <v>66</v>
      </c>
      <c r="K501" t="s">
        <v>74</v>
      </c>
      <c r="L501" t="s">
        <v>203</v>
      </c>
    </row>
    <row r="502" spans="1:12" hidden="1" x14ac:dyDescent="0.2">
      <c r="A502">
        <v>4</v>
      </c>
      <c r="B502" s="21">
        <v>45998</v>
      </c>
      <c r="C502" t="s">
        <v>303</v>
      </c>
      <c r="D502">
        <v>12</v>
      </c>
      <c r="E502" t="s">
        <v>253</v>
      </c>
      <c r="F502" s="21">
        <v>37350</v>
      </c>
      <c r="G502" s="22">
        <v>45658</v>
      </c>
      <c r="H502" t="s">
        <v>293</v>
      </c>
      <c r="I502" t="s">
        <v>200</v>
      </c>
      <c r="J502" t="s">
        <v>66</v>
      </c>
      <c r="K502" t="s">
        <v>74</v>
      </c>
      <c r="L502" t="s">
        <v>203</v>
      </c>
    </row>
    <row r="503" spans="1:12" hidden="1" x14ac:dyDescent="0.2">
      <c r="A503">
        <v>4</v>
      </c>
      <c r="B503" s="21">
        <v>45998</v>
      </c>
      <c r="C503" t="s">
        <v>303</v>
      </c>
      <c r="D503">
        <v>12</v>
      </c>
      <c r="E503" t="s">
        <v>253</v>
      </c>
      <c r="F503" s="21">
        <v>37350</v>
      </c>
      <c r="G503" s="22">
        <v>45658</v>
      </c>
      <c r="H503" t="s">
        <v>278</v>
      </c>
      <c r="I503" t="s">
        <v>38</v>
      </c>
      <c r="J503" t="s">
        <v>66</v>
      </c>
      <c r="K503" t="s">
        <v>67</v>
      </c>
      <c r="L503" t="s">
        <v>202</v>
      </c>
    </row>
    <row r="504" spans="1:12" hidden="1" x14ac:dyDescent="0.2">
      <c r="A504">
        <v>4</v>
      </c>
      <c r="B504" s="21">
        <v>45998</v>
      </c>
      <c r="C504" t="s">
        <v>303</v>
      </c>
      <c r="D504">
        <v>12</v>
      </c>
      <c r="E504" t="s">
        <v>253</v>
      </c>
      <c r="F504" s="21">
        <v>37350</v>
      </c>
      <c r="G504" s="22">
        <v>45658</v>
      </c>
      <c r="H504" t="s">
        <v>295</v>
      </c>
      <c r="I504" t="s">
        <v>200</v>
      </c>
      <c r="J504" t="s">
        <v>64</v>
      </c>
      <c r="K504" t="s">
        <v>78</v>
      </c>
      <c r="L504" t="s">
        <v>202</v>
      </c>
    </row>
    <row r="505" spans="1:12" hidden="1" x14ac:dyDescent="0.2">
      <c r="A505">
        <v>4</v>
      </c>
      <c r="B505" s="21">
        <v>45998</v>
      </c>
      <c r="C505" t="s">
        <v>303</v>
      </c>
      <c r="D505">
        <v>12</v>
      </c>
      <c r="E505" t="s">
        <v>253</v>
      </c>
      <c r="F505" s="21">
        <v>37350</v>
      </c>
      <c r="G505" s="22">
        <v>45658</v>
      </c>
      <c r="H505" t="s">
        <v>290</v>
      </c>
      <c r="I505" t="s">
        <v>200</v>
      </c>
      <c r="J505" t="s">
        <v>71</v>
      </c>
      <c r="K505" t="s">
        <v>74</v>
      </c>
      <c r="L505" t="s">
        <v>203</v>
      </c>
    </row>
    <row r="506" spans="1:12" hidden="1" x14ac:dyDescent="0.2">
      <c r="A506">
        <v>4</v>
      </c>
      <c r="B506" s="21">
        <v>45998</v>
      </c>
      <c r="C506" t="s">
        <v>303</v>
      </c>
      <c r="D506">
        <v>12</v>
      </c>
      <c r="E506" t="s">
        <v>253</v>
      </c>
      <c r="F506" s="21">
        <v>37350</v>
      </c>
      <c r="G506" s="22">
        <v>45658</v>
      </c>
      <c r="H506" t="s">
        <v>292</v>
      </c>
      <c r="I506" t="s">
        <v>12</v>
      </c>
      <c r="J506" t="s">
        <v>64</v>
      </c>
      <c r="K506" t="s">
        <v>74</v>
      </c>
      <c r="L506" t="s">
        <v>203</v>
      </c>
    </row>
    <row r="507" spans="1:12" hidden="1" x14ac:dyDescent="0.2">
      <c r="A507">
        <v>4</v>
      </c>
      <c r="B507" s="21">
        <v>45998</v>
      </c>
      <c r="C507" t="s">
        <v>303</v>
      </c>
      <c r="D507">
        <v>12</v>
      </c>
      <c r="E507" t="s">
        <v>253</v>
      </c>
      <c r="F507" s="21">
        <v>37350</v>
      </c>
      <c r="G507" s="22">
        <v>45689</v>
      </c>
      <c r="H507" t="s">
        <v>290</v>
      </c>
      <c r="I507" t="s">
        <v>6</v>
      </c>
      <c r="J507" t="s">
        <v>66</v>
      </c>
      <c r="K507" t="s">
        <v>74</v>
      </c>
      <c r="L507" t="s">
        <v>203</v>
      </c>
    </row>
    <row r="508" spans="1:12" hidden="1" x14ac:dyDescent="0.2">
      <c r="A508">
        <v>4</v>
      </c>
      <c r="B508" s="21">
        <v>45998</v>
      </c>
      <c r="C508" t="s">
        <v>303</v>
      </c>
      <c r="D508">
        <v>12</v>
      </c>
      <c r="E508" t="s">
        <v>253</v>
      </c>
      <c r="F508" s="21">
        <v>37350</v>
      </c>
      <c r="G508" s="22">
        <v>45689</v>
      </c>
      <c r="H508" t="s">
        <v>295</v>
      </c>
      <c r="I508" t="s">
        <v>205</v>
      </c>
      <c r="J508" t="s">
        <v>66</v>
      </c>
      <c r="K508" t="s">
        <v>75</v>
      </c>
      <c r="L508" t="s">
        <v>204</v>
      </c>
    </row>
    <row r="509" spans="1:12" hidden="1" x14ac:dyDescent="0.2">
      <c r="A509">
        <v>4</v>
      </c>
      <c r="B509" s="21">
        <v>45998</v>
      </c>
      <c r="C509" t="s">
        <v>303</v>
      </c>
      <c r="D509">
        <v>12</v>
      </c>
      <c r="E509" t="s">
        <v>253</v>
      </c>
      <c r="F509" s="21">
        <v>37350</v>
      </c>
      <c r="G509" s="22">
        <v>45689</v>
      </c>
      <c r="H509" t="s">
        <v>279</v>
      </c>
      <c r="I509" t="s">
        <v>12</v>
      </c>
      <c r="J509" t="s">
        <v>66</v>
      </c>
      <c r="K509" t="s">
        <v>75</v>
      </c>
      <c r="L509" t="s">
        <v>204</v>
      </c>
    </row>
    <row r="510" spans="1:12" hidden="1" x14ac:dyDescent="0.2">
      <c r="A510">
        <v>4</v>
      </c>
      <c r="B510" s="21">
        <v>45998</v>
      </c>
      <c r="C510" t="s">
        <v>303</v>
      </c>
      <c r="D510">
        <v>12</v>
      </c>
      <c r="E510" t="s">
        <v>253</v>
      </c>
      <c r="F510" s="21">
        <v>37350</v>
      </c>
      <c r="G510" s="22">
        <v>45689</v>
      </c>
      <c r="H510" t="s">
        <v>279</v>
      </c>
      <c r="I510" t="s">
        <v>40</v>
      </c>
      <c r="J510" t="s">
        <v>66</v>
      </c>
      <c r="K510" t="s">
        <v>75</v>
      </c>
      <c r="L510" t="s">
        <v>204</v>
      </c>
    </row>
    <row r="511" spans="1:12" hidden="1" x14ac:dyDescent="0.2">
      <c r="A511">
        <v>4</v>
      </c>
      <c r="B511" s="21">
        <v>45998</v>
      </c>
      <c r="C511" t="s">
        <v>303</v>
      </c>
      <c r="D511">
        <v>12</v>
      </c>
      <c r="E511" t="s">
        <v>253</v>
      </c>
      <c r="F511" s="21">
        <v>37350</v>
      </c>
      <c r="G511" s="22">
        <v>45689</v>
      </c>
      <c r="H511" t="s">
        <v>278</v>
      </c>
      <c r="I511" t="s">
        <v>261</v>
      </c>
      <c r="J511" t="s">
        <v>64</v>
      </c>
      <c r="K511" t="s">
        <v>75</v>
      </c>
      <c r="L511" t="s">
        <v>204</v>
      </c>
    </row>
    <row r="512" spans="1:12" hidden="1" x14ac:dyDescent="0.2">
      <c r="A512">
        <v>4</v>
      </c>
      <c r="B512" s="21">
        <v>45998</v>
      </c>
      <c r="C512" t="s">
        <v>303</v>
      </c>
      <c r="D512">
        <v>12</v>
      </c>
      <c r="E512" t="s">
        <v>253</v>
      </c>
      <c r="F512" s="21">
        <v>37350</v>
      </c>
      <c r="G512" s="22">
        <v>45689</v>
      </c>
      <c r="H512" t="s">
        <v>305</v>
      </c>
      <c r="I512" t="s">
        <v>30</v>
      </c>
      <c r="J512" t="s">
        <v>71</v>
      </c>
      <c r="K512" t="s">
        <v>74</v>
      </c>
      <c r="L512" t="s">
        <v>203</v>
      </c>
    </row>
    <row r="513" spans="1:13" hidden="1" x14ac:dyDescent="0.2">
      <c r="A513">
        <v>4</v>
      </c>
      <c r="B513" s="21">
        <v>45998</v>
      </c>
      <c r="C513" t="s">
        <v>303</v>
      </c>
      <c r="D513">
        <v>12</v>
      </c>
      <c r="E513" t="s">
        <v>253</v>
      </c>
      <c r="F513" s="21">
        <v>37350</v>
      </c>
      <c r="G513" s="22">
        <v>45689</v>
      </c>
      <c r="H513" t="s">
        <v>292</v>
      </c>
      <c r="I513" t="s">
        <v>30</v>
      </c>
      <c r="J513" t="s">
        <v>71</v>
      </c>
      <c r="K513" t="s">
        <v>74</v>
      </c>
      <c r="L513" t="s">
        <v>203</v>
      </c>
    </row>
    <row r="514" spans="1:13" hidden="1" x14ac:dyDescent="0.2">
      <c r="A514">
        <v>4</v>
      </c>
      <c r="B514" s="21">
        <v>45998</v>
      </c>
      <c r="C514" t="s">
        <v>303</v>
      </c>
      <c r="D514">
        <v>12</v>
      </c>
      <c r="E514" t="s">
        <v>253</v>
      </c>
      <c r="F514" s="21">
        <v>37350</v>
      </c>
      <c r="G514" s="22">
        <v>45689</v>
      </c>
      <c r="H514" t="s">
        <v>284</v>
      </c>
      <c r="I514" t="s">
        <v>30</v>
      </c>
      <c r="J514" t="s">
        <v>71</v>
      </c>
      <c r="K514" t="s">
        <v>74</v>
      </c>
      <c r="L514" t="s">
        <v>203</v>
      </c>
    </row>
    <row r="515" spans="1:13" hidden="1" x14ac:dyDescent="0.2">
      <c r="A515">
        <v>4</v>
      </c>
      <c r="B515" s="21">
        <v>45998</v>
      </c>
      <c r="C515" t="s">
        <v>303</v>
      </c>
      <c r="D515">
        <v>12</v>
      </c>
      <c r="E515" t="s">
        <v>253</v>
      </c>
      <c r="F515" s="21">
        <v>37350</v>
      </c>
      <c r="G515" s="22">
        <v>45689</v>
      </c>
      <c r="H515" t="s">
        <v>294</v>
      </c>
      <c r="I515" t="s">
        <v>200</v>
      </c>
      <c r="J515" t="s">
        <v>64</v>
      </c>
      <c r="K515" t="s">
        <v>72</v>
      </c>
      <c r="L515" t="s">
        <v>202</v>
      </c>
    </row>
    <row r="516" spans="1:13" hidden="1" x14ac:dyDescent="0.2">
      <c r="A516">
        <v>4</v>
      </c>
      <c r="B516" s="21">
        <v>45998</v>
      </c>
      <c r="C516" t="s">
        <v>303</v>
      </c>
      <c r="D516">
        <v>12</v>
      </c>
      <c r="E516" t="s">
        <v>253</v>
      </c>
      <c r="F516" s="21">
        <v>37350</v>
      </c>
      <c r="G516" s="22">
        <v>45689</v>
      </c>
      <c r="H516" t="s">
        <v>305</v>
      </c>
      <c r="I516" t="s">
        <v>30</v>
      </c>
      <c r="J516" t="s">
        <v>64</v>
      </c>
      <c r="K516" t="s">
        <v>72</v>
      </c>
      <c r="L516" t="s">
        <v>202</v>
      </c>
    </row>
    <row r="517" spans="1:13" hidden="1" x14ac:dyDescent="0.2">
      <c r="A517">
        <v>4</v>
      </c>
      <c r="B517" s="21">
        <v>45998</v>
      </c>
      <c r="C517" t="s">
        <v>303</v>
      </c>
      <c r="D517">
        <v>12</v>
      </c>
      <c r="E517" t="s">
        <v>253</v>
      </c>
      <c r="F517" s="21">
        <v>37350</v>
      </c>
      <c r="G517" s="22">
        <v>45689</v>
      </c>
      <c r="H517" t="s">
        <v>305</v>
      </c>
      <c r="I517" t="s">
        <v>200</v>
      </c>
      <c r="J517" t="s">
        <v>68</v>
      </c>
      <c r="K517" t="s">
        <v>65</v>
      </c>
      <c r="L517" t="s">
        <v>202</v>
      </c>
      <c r="M517" t="s">
        <v>310</v>
      </c>
    </row>
    <row r="518" spans="1:13" hidden="1" x14ac:dyDescent="0.2">
      <c r="A518">
        <v>4</v>
      </c>
      <c r="B518" s="21">
        <v>45998</v>
      </c>
      <c r="C518" t="s">
        <v>303</v>
      </c>
      <c r="D518">
        <v>12</v>
      </c>
      <c r="E518" t="s">
        <v>253</v>
      </c>
      <c r="F518" s="21">
        <v>37350</v>
      </c>
      <c r="G518" s="22">
        <v>45689</v>
      </c>
      <c r="H518" t="s">
        <v>294</v>
      </c>
      <c r="I518" t="s">
        <v>36</v>
      </c>
      <c r="J518" t="s">
        <v>66</v>
      </c>
      <c r="K518" t="s">
        <v>74</v>
      </c>
      <c r="L518" t="s">
        <v>203</v>
      </c>
    </row>
    <row r="519" spans="1:13" hidden="1" x14ac:dyDescent="0.2">
      <c r="A519">
        <v>4</v>
      </c>
      <c r="B519" s="21">
        <v>45998</v>
      </c>
      <c r="C519" t="s">
        <v>303</v>
      </c>
      <c r="D519">
        <v>12</v>
      </c>
      <c r="E519" t="s">
        <v>253</v>
      </c>
      <c r="F519" s="21">
        <v>37350</v>
      </c>
      <c r="G519" s="22">
        <v>45689</v>
      </c>
      <c r="H519" t="s">
        <v>294</v>
      </c>
      <c r="I519" t="s">
        <v>200</v>
      </c>
      <c r="J519" t="s">
        <v>71</v>
      </c>
      <c r="K519" t="s">
        <v>74</v>
      </c>
      <c r="L519" t="s">
        <v>203</v>
      </c>
    </row>
    <row r="520" spans="1:13" hidden="1" x14ac:dyDescent="0.2">
      <c r="A520">
        <v>4</v>
      </c>
      <c r="B520" s="21">
        <v>45998</v>
      </c>
      <c r="C520" t="s">
        <v>303</v>
      </c>
      <c r="D520">
        <v>12</v>
      </c>
      <c r="E520" t="s">
        <v>253</v>
      </c>
      <c r="F520" s="21">
        <v>37350</v>
      </c>
      <c r="G520" s="22">
        <v>45689</v>
      </c>
      <c r="H520" t="s">
        <v>294</v>
      </c>
      <c r="I520" t="s">
        <v>200</v>
      </c>
      <c r="J520" t="s">
        <v>71</v>
      </c>
      <c r="K520" t="s">
        <v>74</v>
      </c>
      <c r="L520" t="s">
        <v>203</v>
      </c>
    </row>
    <row r="521" spans="1:13" hidden="1" x14ac:dyDescent="0.2">
      <c r="A521">
        <v>4</v>
      </c>
      <c r="B521" s="21">
        <v>45998</v>
      </c>
      <c r="C521" t="s">
        <v>303</v>
      </c>
      <c r="D521">
        <v>12</v>
      </c>
      <c r="E521" t="s">
        <v>253</v>
      </c>
      <c r="F521" s="21">
        <v>37350</v>
      </c>
      <c r="G521" s="22">
        <v>45689</v>
      </c>
      <c r="H521" t="s">
        <v>292</v>
      </c>
      <c r="I521" t="s">
        <v>40</v>
      </c>
      <c r="K521" t="s">
        <v>73</v>
      </c>
      <c r="L521" t="s">
        <v>203</v>
      </c>
    </row>
    <row r="522" spans="1:13" hidden="1" x14ac:dyDescent="0.2">
      <c r="A522">
        <v>4</v>
      </c>
      <c r="B522" s="21">
        <v>45998</v>
      </c>
      <c r="C522" t="s">
        <v>303</v>
      </c>
      <c r="D522">
        <v>12</v>
      </c>
      <c r="E522" t="s">
        <v>253</v>
      </c>
      <c r="F522" s="21">
        <v>37350</v>
      </c>
      <c r="G522" s="22">
        <v>45689</v>
      </c>
      <c r="H522" t="s">
        <v>295</v>
      </c>
      <c r="I522" t="s">
        <v>6</v>
      </c>
      <c r="J522" t="s">
        <v>66</v>
      </c>
      <c r="K522" t="s">
        <v>74</v>
      </c>
      <c r="L522" t="s">
        <v>203</v>
      </c>
    </row>
    <row r="523" spans="1:13" hidden="1" x14ac:dyDescent="0.2">
      <c r="A523">
        <v>4</v>
      </c>
      <c r="B523" s="21">
        <v>45998</v>
      </c>
      <c r="C523" t="s">
        <v>303</v>
      </c>
      <c r="D523">
        <v>12</v>
      </c>
      <c r="E523" t="s">
        <v>253</v>
      </c>
      <c r="F523" s="21">
        <v>37350</v>
      </c>
      <c r="G523" s="22">
        <v>45689</v>
      </c>
      <c r="H523" t="s">
        <v>290</v>
      </c>
      <c r="I523" t="s">
        <v>6</v>
      </c>
      <c r="J523" t="s">
        <v>66</v>
      </c>
      <c r="K523" t="s">
        <v>74</v>
      </c>
      <c r="L523" t="s">
        <v>203</v>
      </c>
    </row>
    <row r="524" spans="1:13" hidden="1" x14ac:dyDescent="0.2">
      <c r="A524">
        <v>4</v>
      </c>
      <c r="B524" s="21">
        <v>45998</v>
      </c>
      <c r="C524" t="s">
        <v>303</v>
      </c>
      <c r="D524">
        <v>12</v>
      </c>
      <c r="E524" t="s">
        <v>253</v>
      </c>
      <c r="F524" s="21">
        <v>37350</v>
      </c>
      <c r="G524" s="22">
        <v>45689</v>
      </c>
      <c r="H524" t="s">
        <v>293</v>
      </c>
      <c r="I524" t="s">
        <v>6</v>
      </c>
      <c r="J524" t="s">
        <v>66</v>
      </c>
      <c r="K524" t="s">
        <v>74</v>
      </c>
      <c r="L524" t="s">
        <v>203</v>
      </c>
    </row>
    <row r="525" spans="1:13" hidden="1" x14ac:dyDescent="0.2">
      <c r="A525">
        <v>4</v>
      </c>
      <c r="B525" s="21">
        <v>45998</v>
      </c>
      <c r="C525" t="s">
        <v>303</v>
      </c>
      <c r="D525">
        <v>12</v>
      </c>
      <c r="E525" t="s">
        <v>253</v>
      </c>
      <c r="F525" s="21">
        <v>37350</v>
      </c>
      <c r="G525" s="22">
        <v>45689</v>
      </c>
      <c r="H525" t="s">
        <v>294</v>
      </c>
      <c r="I525" t="s">
        <v>205</v>
      </c>
      <c r="J525" t="s">
        <v>66</v>
      </c>
      <c r="K525" t="s">
        <v>74</v>
      </c>
      <c r="L525" t="s">
        <v>203</v>
      </c>
    </row>
    <row r="526" spans="1:13" hidden="1" x14ac:dyDescent="0.2">
      <c r="A526">
        <v>4</v>
      </c>
      <c r="B526" s="21">
        <v>45998</v>
      </c>
      <c r="C526" t="s">
        <v>303</v>
      </c>
      <c r="D526">
        <v>12</v>
      </c>
      <c r="E526" t="s">
        <v>253</v>
      </c>
      <c r="F526" s="21">
        <v>37350</v>
      </c>
      <c r="G526" s="22">
        <v>45689</v>
      </c>
      <c r="H526" t="s">
        <v>284</v>
      </c>
      <c r="I526" t="s">
        <v>9</v>
      </c>
      <c r="J526" t="s">
        <v>66</v>
      </c>
      <c r="K526" t="s">
        <v>73</v>
      </c>
      <c r="L526" t="s">
        <v>203</v>
      </c>
    </row>
    <row r="527" spans="1:13" hidden="1" x14ac:dyDescent="0.2">
      <c r="A527">
        <v>4</v>
      </c>
      <c r="B527" s="21">
        <v>45998</v>
      </c>
      <c r="C527" t="s">
        <v>303</v>
      </c>
      <c r="D527">
        <v>12</v>
      </c>
      <c r="E527" t="s">
        <v>253</v>
      </c>
      <c r="F527" s="21">
        <v>37350</v>
      </c>
      <c r="G527" s="22">
        <v>45689</v>
      </c>
      <c r="H527" t="s">
        <v>294</v>
      </c>
      <c r="I527" t="s">
        <v>200</v>
      </c>
      <c r="K527" t="s">
        <v>74</v>
      </c>
      <c r="L527" t="s">
        <v>203</v>
      </c>
    </row>
    <row r="528" spans="1:13" hidden="1" x14ac:dyDescent="0.2">
      <c r="A528">
        <v>4</v>
      </c>
      <c r="B528" s="21">
        <v>45998</v>
      </c>
      <c r="C528" t="s">
        <v>303</v>
      </c>
      <c r="D528">
        <v>12</v>
      </c>
      <c r="E528" t="s">
        <v>253</v>
      </c>
      <c r="F528" s="21">
        <v>37350</v>
      </c>
      <c r="G528" s="22">
        <v>45689</v>
      </c>
      <c r="H528" t="s">
        <v>294</v>
      </c>
      <c r="I528" t="s">
        <v>311</v>
      </c>
      <c r="J528" t="s">
        <v>68</v>
      </c>
      <c r="K528" t="s">
        <v>74</v>
      </c>
      <c r="L528" t="s">
        <v>203</v>
      </c>
    </row>
    <row r="529" spans="1:12" hidden="1" x14ac:dyDescent="0.2">
      <c r="A529">
        <v>4</v>
      </c>
      <c r="B529" s="21">
        <v>45998</v>
      </c>
      <c r="C529" t="s">
        <v>303</v>
      </c>
      <c r="D529">
        <v>12</v>
      </c>
      <c r="E529" t="s">
        <v>253</v>
      </c>
      <c r="F529" s="21">
        <v>37350</v>
      </c>
      <c r="G529" s="22">
        <v>45689</v>
      </c>
      <c r="H529" t="s">
        <v>294</v>
      </c>
      <c r="I529" t="s">
        <v>200</v>
      </c>
      <c r="J529" t="s">
        <v>71</v>
      </c>
      <c r="K529" t="s">
        <v>74</v>
      </c>
      <c r="L529" t="s">
        <v>203</v>
      </c>
    </row>
    <row r="530" spans="1:12" hidden="1" x14ac:dyDescent="0.2">
      <c r="A530">
        <v>4</v>
      </c>
      <c r="B530" s="21">
        <v>45998</v>
      </c>
      <c r="C530" t="s">
        <v>303</v>
      </c>
      <c r="D530">
        <v>12</v>
      </c>
      <c r="E530" t="s">
        <v>253</v>
      </c>
      <c r="F530" s="21">
        <v>37350</v>
      </c>
      <c r="G530" s="22">
        <v>45689</v>
      </c>
      <c r="H530" t="s">
        <v>292</v>
      </c>
      <c r="I530" t="s">
        <v>311</v>
      </c>
      <c r="J530" t="s">
        <v>68</v>
      </c>
      <c r="K530" t="s">
        <v>73</v>
      </c>
      <c r="L530" t="s">
        <v>203</v>
      </c>
    </row>
    <row r="531" spans="1:12" hidden="1" x14ac:dyDescent="0.2">
      <c r="A531">
        <v>4</v>
      </c>
      <c r="B531" s="21">
        <v>45998</v>
      </c>
      <c r="C531" t="s">
        <v>303</v>
      </c>
      <c r="D531">
        <v>12</v>
      </c>
      <c r="E531" t="s">
        <v>253</v>
      </c>
      <c r="F531" s="21">
        <v>37350</v>
      </c>
      <c r="G531" s="22">
        <v>45689</v>
      </c>
      <c r="H531" t="s">
        <v>305</v>
      </c>
      <c r="I531" t="s">
        <v>40</v>
      </c>
      <c r="K531" t="s">
        <v>72</v>
      </c>
      <c r="L531" t="s">
        <v>202</v>
      </c>
    </row>
    <row r="532" spans="1:12" hidden="1" x14ac:dyDescent="0.2">
      <c r="A532">
        <v>4</v>
      </c>
      <c r="B532" s="21">
        <v>45998</v>
      </c>
      <c r="C532" t="s">
        <v>303</v>
      </c>
      <c r="D532">
        <v>12</v>
      </c>
      <c r="E532" t="s">
        <v>253</v>
      </c>
      <c r="F532" s="21">
        <v>37350</v>
      </c>
      <c r="G532" s="22">
        <v>45689</v>
      </c>
      <c r="H532" t="s">
        <v>284</v>
      </c>
      <c r="I532" t="s">
        <v>200</v>
      </c>
      <c r="J532" t="s">
        <v>64</v>
      </c>
      <c r="K532" t="s">
        <v>74</v>
      </c>
      <c r="L532" t="s">
        <v>203</v>
      </c>
    </row>
    <row r="533" spans="1:12" hidden="1" x14ac:dyDescent="0.2">
      <c r="A533">
        <v>4</v>
      </c>
      <c r="B533" s="21">
        <v>45998</v>
      </c>
      <c r="C533" t="s">
        <v>303</v>
      </c>
      <c r="D533">
        <v>12</v>
      </c>
      <c r="E533" t="s">
        <v>253</v>
      </c>
      <c r="F533" s="21">
        <v>37350</v>
      </c>
      <c r="G533" s="22">
        <v>45689</v>
      </c>
      <c r="H533" t="s">
        <v>294</v>
      </c>
      <c r="I533" t="s">
        <v>30</v>
      </c>
      <c r="J533" t="s">
        <v>66</v>
      </c>
      <c r="K533" t="s">
        <v>74</v>
      </c>
      <c r="L533" t="s">
        <v>203</v>
      </c>
    </row>
    <row r="534" spans="1:12" hidden="1" x14ac:dyDescent="0.2">
      <c r="A534">
        <v>4</v>
      </c>
      <c r="B534" s="21">
        <v>45998</v>
      </c>
      <c r="C534" t="s">
        <v>303</v>
      </c>
      <c r="D534">
        <v>12</v>
      </c>
      <c r="E534" t="s">
        <v>253</v>
      </c>
      <c r="F534" s="21">
        <v>37350</v>
      </c>
      <c r="G534" s="22">
        <v>45689</v>
      </c>
      <c r="H534" t="s">
        <v>293</v>
      </c>
      <c r="I534" t="s">
        <v>261</v>
      </c>
      <c r="J534" t="s">
        <v>66</v>
      </c>
      <c r="K534" t="s">
        <v>69</v>
      </c>
      <c r="L534" t="s">
        <v>204</v>
      </c>
    </row>
    <row r="535" spans="1:12" hidden="1" x14ac:dyDescent="0.2">
      <c r="A535">
        <v>4</v>
      </c>
      <c r="B535" s="21">
        <v>45998</v>
      </c>
      <c r="C535" t="s">
        <v>303</v>
      </c>
      <c r="D535">
        <v>12</v>
      </c>
      <c r="E535" t="s">
        <v>253</v>
      </c>
      <c r="F535" s="21">
        <v>37350</v>
      </c>
      <c r="G535" s="22">
        <v>45689</v>
      </c>
      <c r="H535" t="s">
        <v>305</v>
      </c>
      <c r="I535" t="s">
        <v>200</v>
      </c>
      <c r="J535" t="s">
        <v>71</v>
      </c>
      <c r="K535" t="s">
        <v>69</v>
      </c>
      <c r="L535" t="s">
        <v>204</v>
      </c>
    </row>
    <row r="536" spans="1:12" hidden="1" x14ac:dyDescent="0.2">
      <c r="A536">
        <v>4</v>
      </c>
      <c r="B536" s="21">
        <v>45998</v>
      </c>
      <c r="C536" t="s">
        <v>303</v>
      </c>
      <c r="D536">
        <v>12</v>
      </c>
      <c r="E536" t="s">
        <v>253</v>
      </c>
      <c r="F536" s="21">
        <v>37350</v>
      </c>
      <c r="G536" s="22">
        <v>45689</v>
      </c>
      <c r="H536" t="s">
        <v>293</v>
      </c>
      <c r="I536" t="s">
        <v>200</v>
      </c>
      <c r="J536" t="s">
        <v>71</v>
      </c>
      <c r="K536" t="s">
        <v>69</v>
      </c>
      <c r="L536" t="s">
        <v>204</v>
      </c>
    </row>
    <row r="537" spans="1:12" hidden="1" x14ac:dyDescent="0.2">
      <c r="A537">
        <v>4</v>
      </c>
      <c r="B537" s="21">
        <v>45998</v>
      </c>
      <c r="C537" t="s">
        <v>303</v>
      </c>
      <c r="D537">
        <v>12</v>
      </c>
      <c r="E537" t="s">
        <v>253</v>
      </c>
      <c r="F537" s="21">
        <v>37350</v>
      </c>
      <c r="G537" s="22">
        <v>45689</v>
      </c>
      <c r="H537" t="s">
        <v>285</v>
      </c>
      <c r="I537" t="s">
        <v>311</v>
      </c>
      <c r="J537" t="s">
        <v>71</v>
      </c>
      <c r="K537" t="s">
        <v>69</v>
      </c>
      <c r="L537" t="s">
        <v>204</v>
      </c>
    </row>
    <row r="538" spans="1:12" hidden="1" x14ac:dyDescent="0.2">
      <c r="A538">
        <v>4</v>
      </c>
      <c r="B538" s="21">
        <v>45998</v>
      </c>
      <c r="C538" t="s">
        <v>303</v>
      </c>
      <c r="D538">
        <v>12</v>
      </c>
      <c r="E538" t="s">
        <v>253</v>
      </c>
      <c r="F538" s="21">
        <v>37350</v>
      </c>
      <c r="G538" s="22">
        <v>45689</v>
      </c>
      <c r="H538" t="s">
        <v>293</v>
      </c>
      <c r="I538" t="s">
        <v>40</v>
      </c>
      <c r="J538" t="s">
        <v>66</v>
      </c>
      <c r="K538" t="s">
        <v>78</v>
      </c>
      <c r="L538" t="s">
        <v>202</v>
      </c>
    </row>
    <row r="539" spans="1:12" hidden="1" x14ac:dyDescent="0.2">
      <c r="A539">
        <v>4</v>
      </c>
      <c r="B539" s="21">
        <v>45998</v>
      </c>
      <c r="C539" t="s">
        <v>303</v>
      </c>
      <c r="D539">
        <v>12</v>
      </c>
      <c r="E539" t="s">
        <v>253</v>
      </c>
      <c r="F539" s="21">
        <v>37350</v>
      </c>
      <c r="G539" s="22">
        <v>45717</v>
      </c>
      <c r="H539" t="s">
        <v>293</v>
      </c>
      <c r="I539" t="s">
        <v>36</v>
      </c>
      <c r="J539" t="s">
        <v>66</v>
      </c>
      <c r="K539" t="s">
        <v>73</v>
      </c>
      <c r="L539" t="s">
        <v>203</v>
      </c>
    </row>
    <row r="540" spans="1:12" hidden="1" x14ac:dyDescent="0.2">
      <c r="A540">
        <v>4</v>
      </c>
      <c r="B540" s="21">
        <v>45998</v>
      </c>
      <c r="C540" t="s">
        <v>303</v>
      </c>
      <c r="D540">
        <v>12</v>
      </c>
      <c r="E540" t="s">
        <v>253</v>
      </c>
      <c r="F540" s="21">
        <v>37350</v>
      </c>
      <c r="G540" s="22">
        <v>45717</v>
      </c>
      <c r="H540" t="s">
        <v>293</v>
      </c>
      <c r="I540" t="s">
        <v>200</v>
      </c>
      <c r="J540" t="s">
        <v>68</v>
      </c>
      <c r="K540" t="s">
        <v>74</v>
      </c>
      <c r="L540" t="s">
        <v>203</v>
      </c>
    </row>
    <row r="541" spans="1:12" hidden="1" x14ac:dyDescent="0.2">
      <c r="A541">
        <v>4</v>
      </c>
      <c r="B541" s="21">
        <v>45998</v>
      </c>
      <c r="C541" t="s">
        <v>303</v>
      </c>
      <c r="D541">
        <v>12</v>
      </c>
      <c r="E541" t="s">
        <v>253</v>
      </c>
      <c r="F541" s="21">
        <v>37350</v>
      </c>
      <c r="G541" s="22">
        <v>45717</v>
      </c>
      <c r="H541" t="s">
        <v>293</v>
      </c>
      <c r="I541" t="s">
        <v>200</v>
      </c>
      <c r="J541" t="s">
        <v>71</v>
      </c>
      <c r="K541" t="s">
        <v>78</v>
      </c>
      <c r="L541" t="s">
        <v>202</v>
      </c>
    </row>
    <row r="542" spans="1:12" hidden="1" x14ac:dyDescent="0.2">
      <c r="A542">
        <v>4</v>
      </c>
      <c r="B542" s="21">
        <v>45998</v>
      </c>
      <c r="C542" t="s">
        <v>303</v>
      </c>
      <c r="D542">
        <v>12</v>
      </c>
      <c r="E542" t="s">
        <v>253</v>
      </c>
      <c r="F542" s="21">
        <v>37350</v>
      </c>
      <c r="G542" s="22">
        <v>45717</v>
      </c>
      <c r="H542" t="s">
        <v>292</v>
      </c>
      <c r="I542" t="s">
        <v>311</v>
      </c>
      <c r="J542" t="s">
        <v>68</v>
      </c>
      <c r="K542" t="s">
        <v>78</v>
      </c>
      <c r="L542" t="s">
        <v>203</v>
      </c>
    </row>
    <row r="543" spans="1:12" hidden="1" x14ac:dyDescent="0.2">
      <c r="A543">
        <v>4</v>
      </c>
      <c r="B543" s="21">
        <v>45998</v>
      </c>
      <c r="C543" t="s">
        <v>303</v>
      </c>
      <c r="D543">
        <v>12</v>
      </c>
      <c r="E543" t="s">
        <v>253</v>
      </c>
      <c r="F543" s="21">
        <v>37350</v>
      </c>
      <c r="G543" s="22">
        <v>45717</v>
      </c>
      <c r="H543" t="s">
        <v>293</v>
      </c>
      <c r="I543" t="s">
        <v>200</v>
      </c>
      <c r="J543" t="s">
        <v>71</v>
      </c>
      <c r="K543" t="s">
        <v>74</v>
      </c>
      <c r="L543" t="s">
        <v>203</v>
      </c>
    </row>
    <row r="544" spans="1:12" hidden="1" x14ac:dyDescent="0.2">
      <c r="A544">
        <v>4</v>
      </c>
      <c r="B544" s="21">
        <v>45998</v>
      </c>
      <c r="C544" t="s">
        <v>303</v>
      </c>
      <c r="D544">
        <v>12</v>
      </c>
      <c r="E544" t="s">
        <v>253</v>
      </c>
      <c r="F544" s="21">
        <v>37350</v>
      </c>
      <c r="G544" s="22">
        <v>45717</v>
      </c>
      <c r="H544" t="s">
        <v>278</v>
      </c>
      <c r="I544" t="s">
        <v>200</v>
      </c>
      <c r="J544" t="s">
        <v>71</v>
      </c>
      <c r="K544" t="s">
        <v>74</v>
      </c>
      <c r="L544" t="s">
        <v>203</v>
      </c>
    </row>
    <row r="545" spans="1:12" hidden="1" x14ac:dyDescent="0.2">
      <c r="A545">
        <v>4</v>
      </c>
      <c r="B545" s="21">
        <v>45998</v>
      </c>
      <c r="C545" t="s">
        <v>303</v>
      </c>
      <c r="D545">
        <v>12</v>
      </c>
      <c r="E545" t="s">
        <v>253</v>
      </c>
      <c r="F545" s="21">
        <v>37350</v>
      </c>
      <c r="G545" s="22">
        <v>45717</v>
      </c>
      <c r="H545" t="s">
        <v>284</v>
      </c>
      <c r="I545" t="s">
        <v>311</v>
      </c>
      <c r="J545" t="s">
        <v>68</v>
      </c>
      <c r="K545" t="s">
        <v>74</v>
      </c>
      <c r="L545" t="s">
        <v>203</v>
      </c>
    </row>
    <row r="546" spans="1:12" hidden="1" x14ac:dyDescent="0.2">
      <c r="A546">
        <v>4</v>
      </c>
      <c r="B546" s="21">
        <v>45998</v>
      </c>
      <c r="C546" t="s">
        <v>303</v>
      </c>
      <c r="D546">
        <v>12</v>
      </c>
      <c r="E546" t="s">
        <v>253</v>
      </c>
      <c r="F546" s="21">
        <v>37350</v>
      </c>
      <c r="G546" s="22">
        <v>45717</v>
      </c>
      <c r="H546" t="s">
        <v>292</v>
      </c>
      <c r="I546" t="s">
        <v>36</v>
      </c>
      <c r="J546" t="s">
        <v>68</v>
      </c>
      <c r="K546" t="s">
        <v>73</v>
      </c>
      <c r="L546" t="s">
        <v>203</v>
      </c>
    </row>
    <row r="547" spans="1:12" hidden="1" x14ac:dyDescent="0.2">
      <c r="A547">
        <v>4</v>
      </c>
      <c r="B547" s="21">
        <v>45998</v>
      </c>
      <c r="C547" t="s">
        <v>303</v>
      </c>
      <c r="D547">
        <v>12</v>
      </c>
      <c r="E547" t="s">
        <v>253</v>
      </c>
      <c r="F547" s="21">
        <v>37350</v>
      </c>
      <c r="G547" s="22">
        <v>45717</v>
      </c>
      <c r="H547" t="s">
        <v>294</v>
      </c>
      <c r="I547" t="s">
        <v>200</v>
      </c>
      <c r="J547" t="s">
        <v>71</v>
      </c>
      <c r="K547" t="s">
        <v>74</v>
      </c>
      <c r="L547" t="s">
        <v>203</v>
      </c>
    </row>
    <row r="548" spans="1:12" hidden="1" x14ac:dyDescent="0.2">
      <c r="A548">
        <v>4</v>
      </c>
      <c r="B548" s="21">
        <v>45998</v>
      </c>
      <c r="C548" t="s">
        <v>303</v>
      </c>
      <c r="D548">
        <v>12</v>
      </c>
      <c r="E548" t="s">
        <v>253</v>
      </c>
      <c r="F548" s="21">
        <v>37350</v>
      </c>
      <c r="G548" s="22">
        <v>45717</v>
      </c>
      <c r="H548" t="s">
        <v>285</v>
      </c>
      <c r="I548" t="s">
        <v>12</v>
      </c>
      <c r="J548" t="s">
        <v>71</v>
      </c>
      <c r="K548" t="s">
        <v>75</v>
      </c>
      <c r="L548" t="s">
        <v>204</v>
      </c>
    </row>
    <row r="549" spans="1:12" hidden="1" x14ac:dyDescent="0.2">
      <c r="A549">
        <v>4</v>
      </c>
      <c r="B549" s="21">
        <v>45998</v>
      </c>
      <c r="C549" t="s">
        <v>303</v>
      </c>
      <c r="D549">
        <v>12</v>
      </c>
      <c r="E549" t="s">
        <v>253</v>
      </c>
      <c r="F549" s="21">
        <v>37350</v>
      </c>
      <c r="G549" s="22">
        <v>45717</v>
      </c>
      <c r="H549" t="s">
        <v>293</v>
      </c>
      <c r="I549" t="s">
        <v>261</v>
      </c>
      <c r="J549" t="s">
        <v>66</v>
      </c>
      <c r="K549" t="s">
        <v>75</v>
      </c>
      <c r="L549" t="s">
        <v>204</v>
      </c>
    </row>
    <row r="550" spans="1:12" hidden="1" x14ac:dyDescent="0.2">
      <c r="A550">
        <v>4</v>
      </c>
      <c r="B550" s="21">
        <v>45998</v>
      </c>
      <c r="C550" t="s">
        <v>303</v>
      </c>
      <c r="D550">
        <v>12</v>
      </c>
      <c r="E550" t="s">
        <v>253</v>
      </c>
      <c r="F550" s="21">
        <v>37350</v>
      </c>
      <c r="G550" s="22">
        <v>45717</v>
      </c>
      <c r="H550" t="s">
        <v>290</v>
      </c>
      <c r="I550" t="s">
        <v>311</v>
      </c>
      <c r="J550" t="s">
        <v>71</v>
      </c>
      <c r="K550" t="s">
        <v>75</v>
      </c>
      <c r="L550" t="s">
        <v>204</v>
      </c>
    </row>
    <row r="551" spans="1:12" hidden="1" x14ac:dyDescent="0.2">
      <c r="A551">
        <v>4</v>
      </c>
      <c r="B551" s="21">
        <v>45998</v>
      </c>
      <c r="C551" t="s">
        <v>303</v>
      </c>
      <c r="D551">
        <v>12</v>
      </c>
      <c r="E551" t="s">
        <v>253</v>
      </c>
      <c r="F551" s="21">
        <v>37350</v>
      </c>
      <c r="G551" s="22">
        <v>45717</v>
      </c>
      <c r="H551" t="s">
        <v>290</v>
      </c>
      <c r="I551" t="s">
        <v>9</v>
      </c>
      <c r="J551" t="s">
        <v>66</v>
      </c>
      <c r="K551" t="s">
        <v>75</v>
      </c>
      <c r="L551" t="s">
        <v>204</v>
      </c>
    </row>
    <row r="552" spans="1:12" hidden="1" x14ac:dyDescent="0.2">
      <c r="A552">
        <v>4</v>
      </c>
      <c r="B552" s="21">
        <v>45998</v>
      </c>
      <c r="C552" t="s">
        <v>303</v>
      </c>
      <c r="D552">
        <v>12</v>
      </c>
      <c r="E552" t="s">
        <v>253</v>
      </c>
      <c r="F552" s="21">
        <v>37350</v>
      </c>
      <c r="G552" s="22">
        <v>45717</v>
      </c>
      <c r="H552" t="s">
        <v>294</v>
      </c>
      <c r="I552" t="s">
        <v>6</v>
      </c>
      <c r="J552" t="s">
        <v>66</v>
      </c>
      <c r="K552" t="s">
        <v>74</v>
      </c>
      <c r="L552" t="s">
        <v>203</v>
      </c>
    </row>
    <row r="553" spans="1:12" hidden="1" x14ac:dyDescent="0.2">
      <c r="A553">
        <v>4</v>
      </c>
      <c r="B553" s="21">
        <v>45998</v>
      </c>
      <c r="C553" t="s">
        <v>303</v>
      </c>
      <c r="D553">
        <v>12</v>
      </c>
      <c r="E553" t="s">
        <v>253</v>
      </c>
      <c r="F553" s="21">
        <v>37350</v>
      </c>
      <c r="G553" s="22">
        <v>45717</v>
      </c>
      <c r="H553" t="s">
        <v>294</v>
      </c>
      <c r="I553" t="s">
        <v>200</v>
      </c>
      <c r="J553" t="s">
        <v>71</v>
      </c>
      <c r="K553" t="s">
        <v>74</v>
      </c>
      <c r="L553" t="s">
        <v>203</v>
      </c>
    </row>
    <row r="554" spans="1:12" hidden="1" x14ac:dyDescent="0.2">
      <c r="A554">
        <v>4</v>
      </c>
      <c r="B554" s="21">
        <v>45998</v>
      </c>
      <c r="C554" t="s">
        <v>303</v>
      </c>
      <c r="D554">
        <v>12</v>
      </c>
      <c r="E554" t="s">
        <v>253</v>
      </c>
      <c r="F554" s="21">
        <v>37350</v>
      </c>
      <c r="G554" s="22">
        <v>45717</v>
      </c>
      <c r="H554" t="s">
        <v>294</v>
      </c>
      <c r="I554" t="s">
        <v>200</v>
      </c>
      <c r="J554" t="s">
        <v>71</v>
      </c>
      <c r="K554" t="s">
        <v>74</v>
      </c>
      <c r="L554" t="s">
        <v>203</v>
      </c>
    </row>
    <row r="555" spans="1:12" hidden="1" x14ac:dyDescent="0.2">
      <c r="A555">
        <v>4</v>
      </c>
      <c r="B555" s="21">
        <v>45998</v>
      </c>
      <c r="C555" t="s">
        <v>303</v>
      </c>
      <c r="D555">
        <v>12</v>
      </c>
      <c r="E555" t="s">
        <v>253</v>
      </c>
      <c r="F555" s="21">
        <v>37350</v>
      </c>
      <c r="G555" s="22">
        <v>45717</v>
      </c>
      <c r="H555" t="s">
        <v>293</v>
      </c>
      <c r="I555" t="s">
        <v>311</v>
      </c>
      <c r="J555" t="s">
        <v>68</v>
      </c>
      <c r="K555" t="s">
        <v>74</v>
      </c>
      <c r="L555" t="s">
        <v>203</v>
      </c>
    </row>
    <row r="556" spans="1:12" hidden="1" x14ac:dyDescent="0.2">
      <c r="A556">
        <v>4</v>
      </c>
      <c r="B556" s="21">
        <v>45998</v>
      </c>
      <c r="C556" t="s">
        <v>303</v>
      </c>
      <c r="D556">
        <v>12</v>
      </c>
      <c r="E556" t="s">
        <v>253</v>
      </c>
      <c r="F556" s="21">
        <v>37350</v>
      </c>
      <c r="G556" s="22">
        <v>45717</v>
      </c>
      <c r="H556" t="s">
        <v>293</v>
      </c>
      <c r="I556" t="s">
        <v>40</v>
      </c>
      <c r="J556" t="s">
        <v>71</v>
      </c>
      <c r="K556" t="s">
        <v>74</v>
      </c>
      <c r="L556" t="s">
        <v>203</v>
      </c>
    </row>
    <row r="557" spans="1:12" hidden="1" x14ac:dyDescent="0.2">
      <c r="A557">
        <v>4</v>
      </c>
      <c r="B557" s="21">
        <v>45998</v>
      </c>
      <c r="C557" t="s">
        <v>303</v>
      </c>
      <c r="D557">
        <v>12</v>
      </c>
      <c r="E557" t="s">
        <v>253</v>
      </c>
      <c r="F557" s="21">
        <v>37350</v>
      </c>
      <c r="G557" s="22">
        <v>45717</v>
      </c>
      <c r="H557" t="s">
        <v>279</v>
      </c>
      <c r="I557" t="s">
        <v>200</v>
      </c>
      <c r="J557" t="s">
        <v>71</v>
      </c>
      <c r="K557" t="s">
        <v>73</v>
      </c>
      <c r="L557" t="s">
        <v>203</v>
      </c>
    </row>
    <row r="558" spans="1:12" hidden="1" x14ac:dyDescent="0.2">
      <c r="A558">
        <v>4</v>
      </c>
      <c r="B558" s="21">
        <v>45998</v>
      </c>
      <c r="C558" t="s">
        <v>303</v>
      </c>
      <c r="D558">
        <v>12</v>
      </c>
      <c r="E558" t="s">
        <v>253</v>
      </c>
      <c r="F558" s="21">
        <v>37350</v>
      </c>
      <c r="G558" s="22">
        <v>45717</v>
      </c>
      <c r="H558" t="s">
        <v>294</v>
      </c>
      <c r="I558" t="s">
        <v>36</v>
      </c>
      <c r="J558" t="s">
        <v>64</v>
      </c>
      <c r="K558" t="s">
        <v>75</v>
      </c>
      <c r="L558" t="s">
        <v>204</v>
      </c>
    </row>
    <row r="559" spans="1:12" hidden="1" x14ac:dyDescent="0.2">
      <c r="A559">
        <v>4</v>
      </c>
      <c r="B559" s="21">
        <v>45998</v>
      </c>
      <c r="C559" t="s">
        <v>303</v>
      </c>
      <c r="D559">
        <v>12</v>
      </c>
      <c r="E559" t="s">
        <v>253</v>
      </c>
      <c r="F559" s="21">
        <v>37350</v>
      </c>
      <c r="G559" s="22">
        <v>45717</v>
      </c>
      <c r="H559" t="s">
        <v>290</v>
      </c>
      <c r="I559" t="s">
        <v>6</v>
      </c>
      <c r="J559" t="s">
        <v>66</v>
      </c>
      <c r="K559" t="s">
        <v>75</v>
      </c>
      <c r="L559" t="s">
        <v>204</v>
      </c>
    </row>
    <row r="560" spans="1:12" hidden="1" x14ac:dyDescent="0.2">
      <c r="A560">
        <v>4</v>
      </c>
      <c r="B560" s="21">
        <v>45998</v>
      </c>
      <c r="C560" t="s">
        <v>303</v>
      </c>
      <c r="D560">
        <v>12</v>
      </c>
      <c r="E560" t="s">
        <v>253</v>
      </c>
      <c r="F560" s="21">
        <v>37350</v>
      </c>
      <c r="G560" s="22">
        <v>45717</v>
      </c>
      <c r="H560" t="s">
        <v>285</v>
      </c>
      <c r="I560" t="s">
        <v>34</v>
      </c>
      <c r="J560" t="s">
        <v>71</v>
      </c>
      <c r="K560" t="s">
        <v>75</v>
      </c>
      <c r="L560" t="s">
        <v>204</v>
      </c>
    </row>
    <row r="561" spans="1:13" hidden="1" x14ac:dyDescent="0.2">
      <c r="A561">
        <v>4</v>
      </c>
      <c r="B561" s="21">
        <v>45998</v>
      </c>
      <c r="C561" t="s">
        <v>303</v>
      </c>
      <c r="D561">
        <v>12</v>
      </c>
      <c r="E561" t="s">
        <v>253</v>
      </c>
      <c r="F561" s="21">
        <v>37350</v>
      </c>
      <c r="G561" s="22">
        <v>45717</v>
      </c>
      <c r="H561" t="s">
        <v>294</v>
      </c>
      <c r="I561" t="s">
        <v>6</v>
      </c>
      <c r="J561" t="s">
        <v>66</v>
      </c>
      <c r="K561" t="s">
        <v>75</v>
      </c>
      <c r="L561" t="s">
        <v>204</v>
      </c>
    </row>
    <row r="562" spans="1:13" hidden="1" x14ac:dyDescent="0.2">
      <c r="A562">
        <v>4</v>
      </c>
      <c r="B562" s="21">
        <v>45998</v>
      </c>
      <c r="C562" t="s">
        <v>303</v>
      </c>
      <c r="D562">
        <v>12</v>
      </c>
      <c r="E562" t="s">
        <v>253</v>
      </c>
      <c r="F562" s="21">
        <v>37350</v>
      </c>
      <c r="G562" s="22">
        <v>45717</v>
      </c>
      <c r="H562" t="s">
        <v>285</v>
      </c>
      <c r="I562" t="s">
        <v>14</v>
      </c>
      <c r="J562" t="s">
        <v>64</v>
      </c>
      <c r="K562" t="s">
        <v>75</v>
      </c>
      <c r="L562" t="s">
        <v>204</v>
      </c>
    </row>
    <row r="563" spans="1:13" hidden="1" x14ac:dyDescent="0.2">
      <c r="A563">
        <v>4</v>
      </c>
      <c r="B563" s="21">
        <v>45998</v>
      </c>
      <c r="C563" t="s">
        <v>303</v>
      </c>
      <c r="D563">
        <v>12</v>
      </c>
      <c r="E563" t="s">
        <v>253</v>
      </c>
      <c r="F563" s="21">
        <v>37350</v>
      </c>
      <c r="G563" s="22">
        <v>45717</v>
      </c>
      <c r="H563" t="s">
        <v>279</v>
      </c>
      <c r="I563" t="s">
        <v>9</v>
      </c>
      <c r="J563" t="s">
        <v>66</v>
      </c>
      <c r="K563" t="s">
        <v>75</v>
      </c>
      <c r="L563" t="s">
        <v>204</v>
      </c>
    </row>
    <row r="564" spans="1:13" hidden="1" x14ac:dyDescent="0.2">
      <c r="A564">
        <v>4</v>
      </c>
      <c r="B564" s="21">
        <v>45998</v>
      </c>
      <c r="C564" t="s">
        <v>303</v>
      </c>
      <c r="D564">
        <v>12</v>
      </c>
      <c r="E564" t="s">
        <v>253</v>
      </c>
      <c r="F564" s="21">
        <v>37350</v>
      </c>
      <c r="G564" s="22">
        <v>45717</v>
      </c>
      <c r="H564" t="s">
        <v>294</v>
      </c>
      <c r="I564" t="s">
        <v>200</v>
      </c>
      <c r="J564" t="s">
        <v>71</v>
      </c>
      <c r="K564" t="s">
        <v>74</v>
      </c>
      <c r="L564" t="s">
        <v>203</v>
      </c>
    </row>
    <row r="565" spans="1:13" hidden="1" x14ac:dyDescent="0.2">
      <c r="A565">
        <v>4</v>
      </c>
      <c r="B565" s="21">
        <v>45998</v>
      </c>
      <c r="C565" t="s">
        <v>303</v>
      </c>
      <c r="D565">
        <v>12</v>
      </c>
      <c r="E565" t="s">
        <v>253</v>
      </c>
      <c r="F565" s="21">
        <v>37350</v>
      </c>
      <c r="G565" s="22">
        <v>45717</v>
      </c>
      <c r="H565" t="s">
        <v>293</v>
      </c>
      <c r="I565" t="s">
        <v>200</v>
      </c>
      <c r="J565" t="s">
        <v>71</v>
      </c>
      <c r="K565" t="s">
        <v>74</v>
      </c>
      <c r="L565" t="s">
        <v>203</v>
      </c>
    </row>
    <row r="566" spans="1:13" hidden="1" x14ac:dyDescent="0.2">
      <c r="A566">
        <v>4</v>
      </c>
      <c r="B566" s="21">
        <v>45998</v>
      </c>
      <c r="C566" t="s">
        <v>303</v>
      </c>
      <c r="D566">
        <v>12</v>
      </c>
      <c r="E566" t="s">
        <v>253</v>
      </c>
      <c r="F566" s="21">
        <v>37350</v>
      </c>
      <c r="G566" s="22">
        <v>45717</v>
      </c>
      <c r="H566" t="s">
        <v>279</v>
      </c>
      <c r="I566" t="s">
        <v>311</v>
      </c>
      <c r="J566" t="s">
        <v>68</v>
      </c>
      <c r="K566" t="s">
        <v>75</v>
      </c>
      <c r="L566" t="s">
        <v>204</v>
      </c>
    </row>
    <row r="567" spans="1:13" hidden="1" x14ac:dyDescent="0.2">
      <c r="A567">
        <v>4</v>
      </c>
      <c r="B567" s="21">
        <v>45998</v>
      </c>
      <c r="C567" t="s">
        <v>303</v>
      </c>
      <c r="D567">
        <v>12</v>
      </c>
      <c r="E567" t="s">
        <v>253</v>
      </c>
      <c r="F567" s="21">
        <v>37350</v>
      </c>
      <c r="G567" s="22">
        <v>45717</v>
      </c>
      <c r="H567" t="s">
        <v>292</v>
      </c>
      <c r="I567" t="s">
        <v>30</v>
      </c>
      <c r="J567" t="s">
        <v>71</v>
      </c>
      <c r="K567" t="s">
        <v>73</v>
      </c>
      <c r="L567" t="s">
        <v>203</v>
      </c>
    </row>
    <row r="568" spans="1:13" hidden="1" x14ac:dyDescent="0.2">
      <c r="A568">
        <v>4</v>
      </c>
      <c r="B568" s="21">
        <v>45998</v>
      </c>
      <c r="C568" t="s">
        <v>303</v>
      </c>
      <c r="D568">
        <v>12</v>
      </c>
      <c r="E568" t="s">
        <v>253</v>
      </c>
      <c r="F568" s="21">
        <v>37350</v>
      </c>
      <c r="G568" s="22">
        <v>45717</v>
      </c>
      <c r="H568" t="s">
        <v>293</v>
      </c>
      <c r="I568" t="s">
        <v>261</v>
      </c>
      <c r="J568" t="s">
        <v>66</v>
      </c>
      <c r="K568" t="s">
        <v>75</v>
      </c>
      <c r="L568" t="s">
        <v>204</v>
      </c>
    </row>
    <row r="569" spans="1:13" hidden="1" x14ac:dyDescent="0.2">
      <c r="A569">
        <v>4</v>
      </c>
      <c r="B569" s="21">
        <v>45998</v>
      </c>
      <c r="C569" t="s">
        <v>303</v>
      </c>
      <c r="D569">
        <v>12</v>
      </c>
      <c r="E569" t="s">
        <v>253</v>
      </c>
      <c r="F569" s="21">
        <v>37350</v>
      </c>
      <c r="G569" s="22">
        <v>45717</v>
      </c>
      <c r="H569" t="s">
        <v>294</v>
      </c>
      <c r="I569" t="s">
        <v>14</v>
      </c>
      <c r="J569" t="s">
        <v>80</v>
      </c>
      <c r="K569" t="s">
        <v>78</v>
      </c>
      <c r="L569" t="s">
        <v>203</v>
      </c>
    </row>
    <row r="570" spans="1:13" hidden="1" x14ac:dyDescent="0.2">
      <c r="A570">
        <v>4</v>
      </c>
      <c r="B570" s="21">
        <v>45998</v>
      </c>
      <c r="C570" t="s">
        <v>303</v>
      </c>
      <c r="D570">
        <v>12</v>
      </c>
      <c r="E570" t="s">
        <v>253</v>
      </c>
      <c r="F570" s="21">
        <v>37350</v>
      </c>
      <c r="G570" s="22">
        <v>45717</v>
      </c>
      <c r="H570" t="s">
        <v>278</v>
      </c>
      <c r="I570" t="s">
        <v>76</v>
      </c>
      <c r="J570" t="s">
        <v>64</v>
      </c>
      <c r="K570" t="s">
        <v>65</v>
      </c>
      <c r="L570" t="s">
        <v>202</v>
      </c>
    </row>
    <row r="571" spans="1:13" hidden="1" x14ac:dyDescent="0.2">
      <c r="A571">
        <v>4</v>
      </c>
      <c r="B571" s="21">
        <v>45998</v>
      </c>
      <c r="C571" t="s">
        <v>303</v>
      </c>
      <c r="D571">
        <v>12</v>
      </c>
      <c r="E571" t="s">
        <v>253</v>
      </c>
      <c r="F571" s="21">
        <v>37350</v>
      </c>
      <c r="G571" s="22">
        <v>45717</v>
      </c>
      <c r="H571" t="s">
        <v>305</v>
      </c>
      <c r="I571" t="s">
        <v>30</v>
      </c>
      <c r="J571" t="s">
        <v>71</v>
      </c>
      <c r="K571" t="s">
        <v>72</v>
      </c>
      <c r="L571" t="s">
        <v>202</v>
      </c>
    </row>
    <row r="572" spans="1:13" hidden="1" x14ac:dyDescent="0.2">
      <c r="A572">
        <v>4</v>
      </c>
      <c r="B572" s="21">
        <v>45998</v>
      </c>
      <c r="C572" t="s">
        <v>303</v>
      </c>
      <c r="D572">
        <v>12</v>
      </c>
      <c r="E572" t="s">
        <v>253</v>
      </c>
      <c r="F572" s="21">
        <v>37350</v>
      </c>
      <c r="G572" s="22">
        <v>45717</v>
      </c>
      <c r="H572" t="s">
        <v>305</v>
      </c>
      <c r="I572" t="s">
        <v>38</v>
      </c>
      <c r="J572" t="s">
        <v>66</v>
      </c>
      <c r="K572" t="s">
        <v>72</v>
      </c>
      <c r="L572" t="s">
        <v>202</v>
      </c>
      <c r="M572" t="s">
        <v>272</v>
      </c>
    </row>
    <row r="573" spans="1:13" hidden="1" x14ac:dyDescent="0.2">
      <c r="A573">
        <v>4</v>
      </c>
      <c r="B573" s="21">
        <v>45998</v>
      </c>
      <c r="C573" t="s">
        <v>303</v>
      </c>
      <c r="D573">
        <v>12</v>
      </c>
      <c r="E573" t="s">
        <v>253</v>
      </c>
      <c r="F573" s="21">
        <v>37350</v>
      </c>
      <c r="G573" s="22">
        <v>45717</v>
      </c>
      <c r="H573" t="s">
        <v>292</v>
      </c>
      <c r="I573" t="s">
        <v>30</v>
      </c>
      <c r="J573" t="s">
        <v>66</v>
      </c>
      <c r="K573" t="s">
        <v>73</v>
      </c>
      <c r="L573" t="s">
        <v>203</v>
      </c>
    </row>
    <row r="574" spans="1:13" hidden="1" x14ac:dyDescent="0.2">
      <c r="A574">
        <v>4</v>
      </c>
      <c r="B574" s="21">
        <v>45998</v>
      </c>
      <c r="C574" t="s">
        <v>303</v>
      </c>
      <c r="D574">
        <v>12</v>
      </c>
      <c r="E574" t="s">
        <v>253</v>
      </c>
      <c r="F574" s="21">
        <v>37350</v>
      </c>
      <c r="G574" s="22">
        <v>45717</v>
      </c>
      <c r="H574" t="s">
        <v>292</v>
      </c>
      <c r="I574" t="s">
        <v>6</v>
      </c>
      <c r="J574" t="s">
        <v>66</v>
      </c>
      <c r="K574" t="s">
        <v>73</v>
      </c>
      <c r="L574" t="s">
        <v>203</v>
      </c>
    </row>
    <row r="575" spans="1:13" hidden="1" x14ac:dyDescent="0.2">
      <c r="A575">
        <v>4</v>
      </c>
      <c r="B575" s="21">
        <v>45998</v>
      </c>
      <c r="C575" t="s">
        <v>303</v>
      </c>
      <c r="D575">
        <v>12</v>
      </c>
      <c r="E575" t="s">
        <v>253</v>
      </c>
      <c r="F575" s="21">
        <v>37350</v>
      </c>
      <c r="G575" s="22">
        <v>45717</v>
      </c>
      <c r="H575" t="s">
        <v>292</v>
      </c>
      <c r="I575" t="s">
        <v>36</v>
      </c>
      <c r="J575" t="s">
        <v>64</v>
      </c>
      <c r="K575" t="s">
        <v>74</v>
      </c>
      <c r="L575" t="s">
        <v>203</v>
      </c>
    </row>
    <row r="576" spans="1:13" hidden="1" x14ac:dyDescent="0.2">
      <c r="A576">
        <v>4</v>
      </c>
      <c r="B576" s="21">
        <v>45998</v>
      </c>
      <c r="C576" t="s">
        <v>303</v>
      </c>
      <c r="D576">
        <v>12</v>
      </c>
      <c r="E576" t="s">
        <v>253</v>
      </c>
      <c r="F576" s="21">
        <v>37350</v>
      </c>
      <c r="G576" s="22">
        <v>45717</v>
      </c>
      <c r="H576" t="s">
        <v>284</v>
      </c>
      <c r="I576" t="s">
        <v>311</v>
      </c>
      <c r="J576" t="s">
        <v>66</v>
      </c>
      <c r="K576" t="s">
        <v>73</v>
      </c>
      <c r="L576" t="s">
        <v>203</v>
      </c>
    </row>
    <row r="577" spans="1:12" hidden="1" x14ac:dyDescent="0.2">
      <c r="A577">
        <v>4</v>
      </c>
      <c r="B577" s="21">
        <v>45998</v>
      </c>
      <c r="C577" t="s">
        <v>303</v>
      </c>
      <c r="D577">
        <v>12</v>
      </c>
      <c r="E577" t="s">
        <v>253</v>
      </c>
      <c r="F577" s="21">
        <v>37350</v>
      </c>
      <c r="G577" s="22">
        <v>45717</v>
      </c>
      <c r="H577" t="s">
        <v>290</v>
      </c>
      <c r="I577" t="s">
        <v>200</v>
      </c>
      <c r="J577" t="s">
        <v>71</v>
      </c>
      <c r="K577" t="s">
        <v>78</v>
      </c>
      <c r="L577" t="s">
        <v>203</v>
      </c>
    </row>
    <row r="578" spans="1:12" hidden="1" x14ac:dyDescent="0.2">
      <c r="A578">
        <v>4</v>
      </c>
      <c r="B578" s="21">
        <v>45998</v>
      </c>
      <c r="C578" t="s">
        <v>303</v>
      </c>
      <c r="D578">
        <v>12</v>
      </c>
      <c r="E578" t="s">
        <v>253</v>
      </c>
      <c r="F578" s="21">
        <v>37350</v>
      </c>
      <c r="G578" s="22">
        <v>45717</v>
      </c>
      <c r="H578" t="s">
        <v>294</v>
      </c>
      <c r="I578" t="s">
        <v>6</v>
      </c>
      <c r="J578" t="s">
        <v>66</v>
      </c>
      <c r="K578" t="s">
        <v>74</v>
      </c>
      <c r="L578" t="s">
        <v>203</v>
      </c>
    </row>
    <row r="579" spans="1:12" hidden="1" x14ac:dyDescent="0.2">
      <c r="A579">
        <v>4</v>
      </c>
      <c r="B579" s="21">
        <v>45998</v>
      </c>
      <c r="C579" t="s">
        <v>303</v>
      </c>
      <c r="D579">
        <v>12</v>
      </c>
      <c r="E579" t="s">
        <v>253</v>
      </c>
      <c r="F579" s="21">
        <v>37350</v>
      </c>
      <c r="G579" s="22">
        <v>45717</v>
      </c>
      <c r="H579" t="s">
        <v>294</v>
      </c>
      <c r="I579" t="s">
        <v>30</v>
      </c>
      <c r="J579" t="s">
        <v>71</v>
      </c>
      <c r="K579" t="s">
        <v>74</v>
      </c>
      <c r="L579" t="s">
        <v>203</v>
      </c>
    </row>
    <row r="580" spans="1:12" hidden="1" x14ac:dyDescent="0.2">
      <c r="A580">
        <v>4</v>
      </c>
      <c r="B580" s="21">
        <v>45998</v>
      </c>
      <c r="C580" t="s">
        <v>303</v>
      </c>
      <c r="D580">
        <v>12</v>
      </c>
      <c r="E580" t="s">
        <v>253</v>
      </c>
      <c r="F580" s="21">
        <v>37350</v>
      </c>
      <c r="G580" s="22">
        <v>45717</v>
      </c>
      <c r="H580" t="s">
        <v>294</v>
      </c>
      <c r="I580" t="s">
        <v>40</v>
      </c>
      <c r="J580" t="s">
        <v>66</v>
      </c>
      <c r="K580" t="s">
        <v>74</v>
      </c>
      <c r="L580" t="s">
        <v>203</v>
      </c>
    </row>
    <row r="581" spans="1:12" hidden="1" x14ac:dyDescent="0.2">
      <c r="A581">
        <v>4</v>
      </c>
      <c r="B581" s="21">
        <v>45998</v>
      </c>
      <c r="C581" t="s">
        <v>303</v>
      </c>
      <c r="D581">
        <v>12</v>
      </c>
      <c r="E581" t="s">
        <v>253</v>
      </c>
      <c r="F581" s="21">
        <v>37350</v>
      </c>
      <c r="G581" s="22">
        <v>45717</v>
      </c>
      <c r="H581" t="s">
        <v>284</v>
      </c>
      <c r="I581" t="s">
        <v>199</v>
      </c>
      <c r="J581" t="s">
        <v>71</v>
      </c>
      <c r="K581" t="s">
        <v>73</v>
      </c>
      <c r="L581" t="s">
        <v>203</v>
      </c>
    </row>
    <row r="582" spans="1:12" hidden="1" x14ac:dyDescent="0.2">
      <c r="A582">
        <v>4</v>
      </c>
      <c r="B582" s="21">
        <v>45998</v>
      </c>
      <c r="C582" t="s">
        <v>303</v>
      </c>
      <c r="D582">
        <v>12</v>
      </c>
      <c r="E582" t="s">
        <v>253</v>
      </c>
      <c r="F582" s="21">
        <v>37350</v>
      </c>
      <c r="G582" s="22">
        <v>45717</v>
      </c>
      <c r="H582" t="s">
        <v>284</v>
      </c>
      <c r="I582" t="s">
        <v>6</v>
      </c>
      <c r="J582" t="s">
        <v>66</v>
      </c>
      <c r="K582" t="s">
        <v>73</v>
      </c>
      <c r="L582" t="s">
        <v>203</v>
      </c>
    </row>
    <row r="583" spans="1:12" hidden="1" x14ac:dyDescent="0.2">
      <c r="A583">
        <v>4</v>
      </c>
      <c r="B583" s="21">
        <v>45998</v>
      </c>
      <c r="C583" t="s">
        <v>303</v>
      </c>
      <c r="D583">
        <v>12</v>
      </c>
      <c r="E583" t="s">
        <v>253</v>
      </c>
      <c r="F583" s="21">
        <v>37350</v>
      </c>
      <c r="G583" s="22">
        <v>45717</v>
      </c>
      <c r="H583" t="s">
        <v>290</v>
      </c>
      <c r="I583" t="s">
        <v>30</v>
      </c>
      <c r="J583" t="s">
        <v>71</v>
      </c>
      <c r="K583" t="s">
        <v>74</v>
      </c>
      <c r="L583" t="s">
        <v>203</v>
      </c>
    </row>
    <row r="584" spans="1:12" hidden="1" x14ac:dyDescent="0.2">
      <c r="A584">
        <v>4</v>
      </c>
      <c r="B584" s="21">
        <v>45998</v>
      </c>
      <c r="C584" t="s">
        <v>303</v>
      </c>
      <c r="D584">
        <v>12</v>
      </c>
      <c r="E584" t="s">
        <v>253</v>
      </c>
      <c r="F584" s="21">
        <v>37350</v>
      </c>
      <c r="G584" s="22">
        <v>45717</v>
      </c>
      <c r="H584" t="s">
        <v>290</v>
      </c>
      <c r="I584" t="s">
        <v>36</v>
      </c>
      <c r="J584" t="s">
        <v>66</v>
      </c>
      <c r="K584" t="s">
        <v>74</v>
      </c>
      <c r="L584" t="s">
        <v>203</v>
      </c>
    </row>
    <row r="585" spans="1:12" hidden="1" x14ac:dyDescent="0.2">
      <c r="A585">
        <v>4</v>
      </c>
      <c r="B585" s="21">
        <v>45998</v>
      </c>
      <c r="C585" t="s">
        <v>303</v>
      </c>
      <c r="D585">
        <v>12</v>
      </c>
      <c r="E585" t="s">
        <v>253</v>
      </c>
      <c r="F585" s="21">
        <v>37350</v>
      </c>
      <c r="G585" s="22">
        <v>45717</v>
      </c>
      <c r="H585" t="s">
        <v>284</v>
      </c>
      <c r="I585" t="s">
        <v>199</v>
      </c>
      <c r="J585" t="s">
        <v>71</v>
      </c>
      <c r="K585" t="s">
        <v>75</v>
      </c>
      <c r="L585" t="s">
        <v>204</v>
      </c>
    </row>
    <row r="586" spans="1:12" hidden="1" x14ac:dyDescent="0.2">
      <c r="A586">
        <v>4</v>
      </c>
      <c r="B586" s="21">
        <v>45998</v>
      </c>
      <c r="C586" t="s">
        <v>303</v>
      </c>
      <c r="D586">
        <v>12</v>
      </c>
      <c r="E586" t="s">
        <v>253</v>
      </c>
      <c r="F586" s="21">
        <v>37350</v>
      </c>
      <c r="G586" s="22">
        <v>45717</v>
      </c>
      <c r="H586" t="s">
        <v>284</v>
      </c>
      <c r="I586" t="s">
        <v>34</v>
      </c>
      <c r="J586" t="s">
        <v>71</v>
      </c>
      <c r="K586" t="s">
        <v>75</v>
      </c>
      <c r="L586" t="s">
        <v>204</v>
      </c>
    </row>
    <row r="587" spans="1:12" hidden="1" x14ac:dyDescent="0.2">
      <c r="A587">
        <v>4</v>
      </c>
      <c r="B587" s="21">
        <v>45998</v>
      </c>
      <c r="C587" t="s">
        <v>303</v>
      </c>
      <c r="D587">
        <v>12</v>
      </c>
      <c r="E587" t="s">
        <v>253</v>
      </c>
      <c r="F587" s="21">
        <v>37350</v>
      </c>
      <c r="G587" s="22">
        <v>45717</v>
      </c>
      <c r="H587" t="s">
        <v>284</v>
      </c>
      <c r="I587" t="s">
        <v>40</v>
      </c>
      <c r="J587" t="s">
        <v>66</v>
      </c>
      <c r="K587" t="s">
        <v>75</v>
      </c>
      <c r="L587" t="s">
        <v>204</v>
      </c>
    </row>
    <row r="588" spans="1:12" hidden="1" x14ac:dyDescent="0.2">
      <c r="A588">
        <v>4</v>
      </c>
      <c r="B588" s="21">
        <v>45998</v>
      </c>
      <c r="C588" t="s">
        <v>303</v>
      </c>
      <c r="D588">
        <v>12</v>
      </c>
      <c r="E588" t="s">
        <v>253</v>
      </c>
      <c r="F588" s="21">
        <v>37350</v>
      </c>
      <c r="G588" s="22">
        <v>45717</v>
      </c>
      <c r="H588" t="s">
        <v>293</v>
      </c>
      <c r="I588" t="s">
        <v>261</v>
      </c>
      <c r="J588" t="s">
        <v>66</v>
      </c>
      <c r="K588" t="s">
        <v>75</v>
      </c>
      <c r="L588" t="s">
        <v>204</v>
      </c>
    </row>
    <row r="589" spans="1:12" hidden="1" x14ac:dyDescent="0.2">
      <c r="A589">
        <v>4</v>
      </c>
      <c r="B589" s="21">
        <v>45998</v>
      </c>
      <c r="C589" t="s">
        <v>303</v>
      </c>
      <c r="D589">
        <v>12</v>
      </c>
      <c r="E589" t="s">
        <v>253</v>
      </c>
      <c r="F589" s="21">
        <v>37350</v>
      </c>
      <c r="G589" s="22">
        <v>45717</v>
      </c>
      <c r="H589" t="s">
        <v>279</v>
      </c>
      <c r="I589" t="s">
        <v>12</v>
      </c>
      <c r="J589" t="s">
        <v>64</v>
      </c>
      <c r="K589" t="s">
        <v>75</v>
      </c>
      <c r="L589" t="s">
        <v>204</v>
      </c>
    </row>
    <row r="590" spans="1:12" hidden="1" x14ac:dyDescent="0.2">
      <c r="A590">
        <v>4</v>
      </c>
      <c r="B590" s="21">
        <v>45998</v>
      </c>
      <c r="C590" t="s">
        <v>303</v>
      </c>
      <c r="D590">
        <v>12</v>
      </c>
      <c r="E590" t="s">
        <v>253</v>
      </c>
      <c r="F590" s="21">
        <v>37350</v>
      </c>
      <c r="G590" s="22">
        <v>45659</v>
      </c>
      <c r="H590" t="s">
        <v>294</v>
      </c>
      <c r="I590" t="s">
        <v>76</v>
      </c>
      <c r="J590" t="s">
        <v>66</v>
      </c>
      <c r="K590" t="s">
        <v>73</v>
      </c>
      <c r="L590" t="s">
        <v>203</v>
      </c>
    </row>
    <row r="591" spans="1:12" hidden="1" x14ac:dyDescent="0.2">
      <c r="A591">
        <v>4</v>
      </c>
      <c r="B591" s="21">
        <v>45998</v>
      </c>
      <c r="C591" t="s">
        <v>303</v>
      </c>
      <c r="D591">
        <v>12</v>
      </c>
      <c r="E591" t="s">
        <v>253</v>
      </c>
      <c r="F591" s="21">
        <v>37350</v>
      </c>
      <c r="G591" s="22">
        <v>45659</v>
      </c>
      <c r="H591" t="s">
        <v>279</v>
      </c>
      <c r="I591" t="s">
        <v>76</v>
      </c>
      <c r="J591" t="s">
        <v>64</v>
      </c>
      <c r="K591" t="s">
        <v>75</v>
      </c>
      <c r="L591" t="s">
        <v>204</v>
      </c>
    </row>
    <row r="592" spans="1:12" hidden="1" x14ac:dyDescent="0.2">
      <c r="A592">
        <v>4</v>
      </c>
      <c r="B592" s="21">
        <v>45998</v>
      </c>
      <c r="C592" t="s">
        <v>303</v>
      </c>
      <c r="D592">
        <v>12</v>
      </c>
      <c r="E592" t="s">
        <v>253</v>
      </c>
      <c r="F592" s="21">
        <v>37350</v>
      </c>
      <c r="G592" s="22">
        <v>45659</v>
      </c>
      <c r="H592" t="s">
        <v>284</v>
      </c>
      <c r="I592" t="s">
        <v>200</v>
      </c>
      <c r="J592" t="s">
        <v>71</v>
      </c>
      <c r="K592" t="s">
        <v>72</v>
      </c>
      <c r="L592" t="s">
        <v>202</v>
      </c>
    </row>
    <row r="593" spans="1:12" hidden="1" x14ac:dyDescent="0.2">
      <c r="A593">
        <v>4</v>
      </c>
      <c r="B593" s="21">
        <v>45998</v>
      </c>
      <c r="C593" t="s">
        <v>303</v>
      </c>
      <c r="D593">
        <v>12</v>
      </c>
      <c r="E593" t="s">
        <v>253</v>
      </c>
      <c r="F593" s="21">
        <v>37350</v>
      </c>
      <c r="G593" s="22">
        <v>45659</v>
      </c>
      <c r="H593" t="s">
        <v>278</v>
      </c>
      <c r="I593" t="s">
        <v>40</v>
      </c>
      <c r="J593" t="s">
        <v>66</v>
      </c>
      <c r="K593" t="s">
        <v>74</v>
      </c>
      <c r="L593" t="s">
        <v>203</v>
      </c>
    </row>
    <row r="594" spans="1:12" hidden="1" x14ac:dyDescent="0.2">
      <c r="A594">
        <v>4</v>
      </c>
      <c r="B594" s="21">
        <v>45998</v>
      </c>
      <c r="C594" t="s">
        <v>303</v>
      </c>
      <c r="D594">
        <v>12</v>
      </c>
      <c r="E594" t="s">
        <v>253</v>
      </c>
      <c r="F594" s="21">
        <v>37350</v>
      </c>
      <c r="G594" s="22">
        <v>45659</v>
      </c>
      <c r="H594" t="s">
        <v>279</v>
      </c>
      <c r="I594" t="s">
        <v>311</v>
      </c>
      <c r="J594" t="s">
        <v>66</v>
      </c>
      <c r="K594" t="s">
        <v>69</v>
      </c>
      <c r="L594" t="s">
        <v>204</v>
      </c>
    </row>
    <row r="595" spans="1:12" hidden="1" x14ac:dyDescent="0.2">
      <c r="A595">
        <v>4</v>
      </c>
      <c r="B595" s="21">
        <v>45998</v>
      </c>
      <c r="C595" t="s">
        <v>303</v>
      </c>
      <c r="D595">
        <v>12</v>
      </c>
      <c r="E595" t="s">
        <v>253</v>
      </c>
      <c r="F595" s="21">
        <v>37350</v>
      </c>
      <c r="G595" s="22">
        <v>45659</v>
      </c>
      <c r="H595" t="s">
        <v>284</v>
      </c>
      <c r="I595" t="s">
        <v>6</v>
      </c>
      <c r="J595" t="s">
        <v>64</v>
      </c>
      <c r="L595" t="s">
        <v>203</v>
      </c>
    </row>
    <row r="596" spans="1:12" hidden="1" x14ac:dyDescent="0.2">
      <c r="A596">
        <v>4</v>
      </c>
      <c r="B596" s="21">
        <v>45998</v>
      </c>
      <c r="C596" t="s">
        <v>303</v>
      </c>
      <c r="D596">
        <v>12</v>
      </c>
      <c r="E596" t="s">
        <v>253</v>
      </c>
      <c r="F596" s="21">
        <v>37350</v>
      </c>
      <c r="G596" s="22">
        <v>45659</v>
      </c>
      <c r="H596" t="s">
        <v>278</v>
      </c>
      <c r="I596" t="s">
        <v>6</v>
      </c>
      <c r="J596" t="s">
        <v>64</v>
      </c>
      <c r="K596" t="s">
        <v>78</v>
      </c>
      <c r="L596" t="s">
        <v>204</v>
      </c>
    </row>
    <row r="597" spans="1:12" hidden="1" x14ac:dyDescent="0.2">
      <c r="A597">
        <v>4</v>
      </c>
      <c r="B597" s="21">
        <v>45998</v>
      </c>
      <c r="C597" t="s">
        <v>303</v>
      </c>
      <c r="D597">
        <v>12</v>
      </c>
      <c r="E597" t="s">
        <v>253</v>
      </c>
      <c r="F597" s="21">
        <v>37350</v>
      </c>
      <c r="G597" s="22">
        <v>45659</v>
      </c>
      <c r="H597" t="s">
        <v>279</v>
      </c>
      <c r="I597" t="s">
        <v>12</v>
      </c>
      <c r="J597" t="s">
        <v>64</v>
      </c>
      <c r="K597" t="s">
        <v>75</v>
      </c>
      <c r="L597" t="s">
        <v>204</v>
      </c>
    </row>
    <row r="598" spans="1:12" hidden="1" x14ac:dyDescent="0.2">
      <c r="A598">
        <v>4</v>
      </c>
      <c r="B598" s="21">
        <v>45998</v>
      </c>
      <c r="C598" t="s">
        <v>303</v>
      </c>
      <c r="D598">
        <v>12</v>
      </c>
      <c r="E598" t="s">
        <v>253</v>
      </c>
      <c r="F598" s="21">
        <v>37350</v>
      </c>
      <c r="G598" s="22">
        <v>45659</v>
      </c>
      <c r="H598" t="s">
        <v>279</v>
      </c>
      <c r="I598" t="s">
        <v>12</v>
      </c>
      <c r="J598" t="s">
        <v>64</v>
      </c>
      <c r="L598" t="s">
        <v>204</v>
      </c>
    </row>
    <row r="599" spans="1:12" hidden="1" x14ac:dyDescent="0.2">
      <c r="A599">
        <v>4</v>
      </c>
      <c r="B599" s="21">
        <v>45998</v>
      </c>
      <c r="C599" t="s">
        <v>303</v>
      </c>
      <c r="D599">
        <v>12</v>
      </c>
      <c r="E599" t="s">
        <v>253</v>
      </c>
      <c r="F599" s="21">
        <v>37350</v>
      </c>
      <c r="G599" s="22">
        <v>45659</v>
      </c>
      <c r="H599" t="s">
        <v>287</v>
      </c>
      <c r="I599" t="s">
        <v>9</v>
      </c>
      <c r="J599" t="s">
        <v>71</v>
      </c>
      <c r="K599" t="s">
        <v>75</v>
      </c>
      <c r="L599" t="s">
        <v>204</v>
      </c>
    </row>
    <row r="600" spans="1:12" hidden="1" x14ac:dyDescent="0.2">
      <c r="A600">
        <v>4</v>
      </c>
      <c r="B600" s="21">
        <v>45998</v>
      </c>
      <c r="C600" t="s">
        <v>303</v>
      </c>
      <c r="D600">
        <v>12</v>
      </c>
      <c r="E600" t="s">
        <v>253</v>
      </c>
      <c r="F600" s="21">
        <v>37350</v>
      </c>
      <c r="G600" s="22">
        <v>45659</v>
      </c>
      <c r="H600" t="s">
        <v>278</v>
      </c>
      <c r="I600" t="s">
        <v>30</v>
      </c>
      <c r="J600" t="s">
        <v>71</v>
      </c>
      <c r="K600" t="s">
        <v>74</v>
      </c>
      <c r="L600" t="s">
        <v>203</v>
      </c>
    </row>
    <row r="601" spans="1:12" hidden="1" x14ac:dyDescent="0.2">
      <c r="A601">
        <v>4</v>
      </c>
      <c r="B601" s="21">
        <v>45998</v>
      </c>
      <c r="C601" t="s">
        <v>303</v>
      </c>
      <c r="D601">
        <v>12</v>
      </c>
      <c r="E601" t="s">
        <v>253</v>
      </c>
      <c r="F601" s="21">
        <v>37350</v>
      </c>
      <c r="G601" s="22">
        <v>45659</v>
      </c>
      <c r="H601" t="s">
        <v>295</v>
      </c>
      <c r="I601" t="s">
        <v>30</v>
      </c>
      <c r="J601" t="s">
        <v>66</v>
      </c>
      <c r="K601" t="s">
        <v>65</v>
      </c>
      <c r="L601" t="s">
        <v>202</v>
      </c>
    </row>
    <row r="602" spans="1:12" hidden="1" x14ac:dyDescent="0.2">
      <c r="A602">
        <v>4</v>
      </c>
      <c r="B602" s="21">
        <v>45998</v>
      </c>
      <c r="C602" t="s">
        <v>303</v>
      </c>
      <c r="D602">
        <v>12</v>
      </c>
      <c r="E602" t="s">
        <v>253</v>
      </c>
      <c r="F602" s="21">
        <v>37350</v>
      </c>
      <c r="G602" s="22">
        <v>45659</v>
      </c>
      <c r="H602" t="s">
        <v>293</v>
      </c>
      <c r="I602" t="s">
        <v>36</v>
      </c>
      <c r="J602" t="s">
        <v>64</v>
      </c>
      <c r="K602" t="s">
        <v>74</v>
      </c>
      <c r="L602" t="s">
        <v>203</v>
      </c>
    </row>
    <row r="603" spans="1:12" hidden="1" x14ac:dyDescent="0.2">
      <c r="A603">
        <v>4</v>
      </c>
      <c r="B603" s="21">
        <v>45998</v>
      </c>
      <c r="C603" t="s">
        <v>303</v>
      </c>
      <c r="D603">
        <v>12</v>
      </c>
      <c r="E603" t="s">
        <v>253</v>
      </c>
      <c r="F603" s="21">
        <v>37350</v>
      </c>
      <c r="G603" s="22">
        <v>45659</v>
      </c>
      <c r="H603" t="s">
        <v>279</v>
      </c>
      <c r="I603" t="s">
        <v>38</v>
      </c>
      <c r="J603" t="s">
        <v>66</v>
      </c>
      <c r="K603" t="s">
        <v>75</v>
      </c>
      <c r="L603" t="s">
        <v>204</v>
      </c>
    </row>
    <row r="604" spans="1:12" hidden="1" x14ac:dyDescent="0.2">
      <c r="A604">
        <v>4</v>
      </c>
      <c r="B604" s="21">
        <v>45998</v>
      </c>
      <c r="C604" t="s">
        <v>303</v>
      </c>
      <c r="D604">
        <v>12</v>
      </c>
      <c r="E604" t="s">
        <v>253</v>
      </c>
      <c r="F604" s="21">
        <v>37350</v>
      </c>
      <c r="G604" s="22">
        <v>45659</v>
      </c>
      <c r="H604" t="s">
        <v>295</v>
      </c>
      <c r="I604" t="s">
        <v>200</v>
      </c>
      <c r="J604" t="s">
        <v>68</v>
      </c>
      <c r="K604" t="s">
        <v>78</v>
      </c>
      <c r="L604" t="s">
        <v>202</v>
      </c>
    </row>
    <row r="605" spans="1:12" hidden="1" x14ac:dyDescent="0.2">
      <c r="A605">
        <v>4</v>
      </c>
      <c r="B605" s="21">
        <v>45998</v>
      </c>
      <c r="C605" t="s">
        <v>303</v>
      </c>
      <c r="D605">
        <v>12</v>
      </c>
      <c r="E605" t="s">
        <v>253</v>
      </c>
      <c r="F605" s="21">
        <v>37350</v>
      </c>
      <c r="G605" s="22">
        <v>45659</v>
      </c>
      <c r="H605" t="s">
        <v>295</v>
      </c>
      <c r="I605" t="s">
        <v>200</v>
      </c>
      <c r="J605" t="s">
        <v>68</v>
      </c>
      <c r="K605" t="s">
        <v>65</v>
      </c>
      <c r="L605" t="s">
        <v>202</v>
      </c>
    </row>
    <row r="606" spans="1:12" hidden="1" x14ac:dyDescent="0.2">
      <c r="A606">
        <v>4</v>
      </c>
      <c r="B606" s="21">
        <v>45998</v>
      </c>
      <c r="C606" t="s">
        <v>303</v>
      </c>
      <c r="D606">
        <v>12</v>
      </c>
      <c r="E606" t="s">
        <v>253</v>
      </c>
      <c r="F606" s="21">
        <v>37350</v>
      </c>
      <c r="G606" s="22">
        <v>45659</v>
      </c>
      <c r="H606" t="s">
        <v>278</v>
      </c>
      <c r="I606" t="s">
        <v>200</v>
      </c>
      <c r="J606" t="s">
        <v>71</v>
      </c>
      <c r="K606" t="s">
        <v>75</v>
      </c>
      <c r="L606" t="s">
        <v>204</v>
      </c>
    </row>
    <row r="607" spans="1:12" hidden="1" x14ac:dyDescent="0.2">
      <c r="A607">
        <v>4</v>
      </c>
      <c r="B607" s="21">
        <v>45998</v>
      </c>
      <c r="C607" t="s">
        <v>303</v>
      </c>
      <c r="D607">
        <v>12</v>
      </c>
      <c r="E607" t="s">
        <v>253</v>
      </c>
      <c r="F607" s="21">
        <v>37350</v>
      </c>
      <c r="G607" s="22">
        <v>45659</v>
      </c>
      <c r="H607" t="s">
        <v>278</v>
      </c>
      <c r="I607" t="s">
        <v>9</v>
      </c>
      <c r="J607" t="s">
        <v>66</v>
      </c>
      <c r="K607" t="s">
        <v>73</v>
      </c>
      <c r="L607" t="s">
        <v>203</v>
      </c>
    </row>
    <row r="608" spans="1:12" hidden="1" x14ac:dyDescent="0.2">
      <c r="A608">
        <v>4</v>
      </c>
      <c r="B608" s="21">
        <v>45998</v>
      </c>
      <c r="C608" t="s">
        <v>303</v>
      </c>
      <c r="D608">
        <v>12</v>
      </c>
      <c r="E608" t="s">
        <v>253</v>
      </c>
      <c r="F608" s="21">
        <v>37350</v>
      </c>
      <c r="G608" s="22">
        <v>45659</v>
      </c>
      <c r="H608" t="s">
        <v>279</v>
      </c>
      <c r="I608" t="s">
        <v>200</v>
      </c>
      <c r="J608" t="s">
        <v>68</v>
      </c>
      <c r="K608" t="s">
        <v>73</v>
      </c>
      <c r="L608" t="s">
        <v>203</v>
      </c>
    </row>
    <row r="609" spans="1:12" hidden="1" x14ac:dyDescent="0.2">
      <c r="A609">
        <v>4</v>
      </c>
      <c r="B609" s="21">
        <v>45998</v>
      </c>
      <c r="C609" t="s">
        <v>303</v>
      </c>
      <c r="D609">
        <v>12</v>
      </c>
      <c r="E609" t="s">
        <v>253</v>
      </c>
      <c r="F609" s="21">
        <v>37350</v>
      </c>
      <c r="G609" s="22">
        <v>45659</v>
      </c>
      <c r="H609" t="s">
        <v>285</v>
      </c>
      <c r="I609" t="s">
        <v>76</v>
      </c>
      <c r="J609" t="s">
        <v>66</v>
      </c>
      <c r="L609" t="s">
        <v>204</v>
      </c>
    </row>
    <row r="610" spans="1:12" hidden="1" x14ac:dyDescent="0.2">
      <c r="A610">
        <v>4</v>
      </c>
      <c r="B610" s="21">
        <v>45998</v>
      </c>
      <c r="C610" t="s">
        <v>303</v>
      </c>
      <c r="D610">
        <v>12</v>
      </c>
      <c r="E610" t="s">
        <v>253</v>
      </c>
      <c r="F610" s="21">
        <v>37350</v>
      </c>
      <c r="G610" s="22">
        <v>45659</v>
      </c>
      <c r="H610" t="s">
        <v>278</v>
      </c>
      <c r="I610" t="s">
        <v>200</v>
      </c>
      <c r="J610" t="s">
        <v>71</v>
      </c>
      <c r="K610" t="s">
        <v>75</v>
      </c>
      <c r="L610" t="s">
        <v>204</v>
      </c>
    </row>
    <row r="611" spans="1:12" hidden="1" x14ac:dyDescent="0.2">
      <c r="A611">
        <v>4</v>
      </c>
      <c r="B611" s="21">
        <v>45998</v>
      </c>
      <c r="C611" t="s">
        <v>303</v>
      </c>
      <c r="D611">
        <v>12</v>
      </c>
      <c r="E611" t="s">
        <v>253</v>
      </c>
      <c r="F611" s="21">
        <v>37350</v>
      </c>
      <c r="G611" s="22">
        <v>45659</v>
      </c>
      <c r="H611" t="s">
        <v>278</v>
      </c>
      <c r="I611" t="s">
        <v>34</v>
      </c>
      <c r="J611" t="s">
        <v>71</v>
      </c>
      <c r="K611" t="s">
        <v>75</v>
      </c>
      <c r="L611" t="s">
        <v>204</v>
      </c>
    </row>
    <row r="612" spans="1:12" hidden="1" x14ac:dyDescent="0.2">
      <c r="A612">
        <v>4</v>
      </c>
      <c r="B612" s="21">
        <v>45998</v>
      </c>
      <c r="C612" t="s">
        <v>303</v>
      </c>
      <c r="D612">
        <v>12</v>
      </c>
      <c r="E612" t="s">
        <v>253</v>
      </c>
      <c r="F612" s="21">
        <v>37350</v>
      </c>
      <c r="G612" s="22">
        <v>45659</v>
      </c>
      <c r="H612" t="s">
        <v>284</v>
      </c>
      <c r="I612" t="s">
        <v>200</v>
      </c>
      <c r="J612" t="s">
        <v>71</v>
      </c>
      <c r="K612" t="s">
        <v>72</v>
      </c>
      <c r="L612" t="s">
        <v>202</v>
      </c>
    </row>
    <row r="613" spans="1:12" hidden="1" x14ac:dyDescent="0.2">
      <c r="A613">
        <v>4</v>
      </c>
      <c r="B613" s="21">
        <v>45998</v>
      </c>
      <c r="C613" t="s">
        <v>303</v>
      </c>
      <c r="D613">
        <v>12</v>
      </c>
      <c r="E613" t="s">
        <v>253</v>
      </c>
      <c r="F613" s="21">
        <v>37350</v>
      </c>
      <c r="G613" s="22">
        <v>45659</v>
      </c>
      <c r="H613" t="s">
        <v>292</v>
      </c>
      <c r="I613" t="s">
        <v>199</v>
      </c>
      <c r="J613" t="s">
        <v>68</v>
      </c>
      <c r="K613" t="s">
        <v>79</v>
      </c>
      <c r="L613" t="s">
        <v>203</v>
      </c>
    </row>
    <row r="614" spans="1:12" hidden="1" x14ac:dyDescent="0.2">
      <c r="A614">
        <v>4</v>
      </c>
      <c r="B614" s="21">
        <v>45998</v>
      </c>
      <c r="C614" t="s">
        <v>303</v>
      </c>
      <c r="D614">
        <v>12</v>
      </c>
      <c r="E614" t="s">
        <v>253</v>
      </c>
      <c r="F614" s="21">
        <v>37350</v>
      </c>
      <c r="G614" s="22">
        <v>45659</v>
      </c>
      <c r="H614" t="s">
        <v>278</v>
      </c>
      <c r="I614" t="s">
        <v>32</v>
      </c>
      <c r="J614" t="s">
        <v>71</v>
      </c>
      <c r="K614" t="s">
        <v>67</v>
      </c>
      <c r="L614" t="s">
        <v>202</v>
      </c>
    </row>
    <row r="615" spans="1:12" hidden="1" x14ac:dyDescent="0.2">
      <c r="A615">
        <v>4</v>
      </c>
      <c r="B615" s="21">
        <v>45998</v>
      </c>
      <c r="C615" t="s">
        <v>303</v>
      </c>
      <c r="D615">
        <v>12</v>
      </c>
      <c r="E615" t="s">
        <v>253</v>
      </c>
      <c r="F615" s="21">
        <v>37350</v>
      </c>
      <c r="G615" s="22">
        <v>45659</v>
      </c>
      <c r="H615" t="s">
        <v>292</v>
      </c>
      <c r="I615" t="s">
        <v>199</v>
      </c>
      <c r="J615" t="s">
        <v>68</v>
      </c>
      <c r="K615" t="s">
        <v>74</v>
      </c>
      <c r="L615" t="s">
        <v>203</v>
      </c>
    </row>
    <row r="616" spans="1:12" hidden="1" x14ac:dyDescent="0.2">
      <c r="A616">
        <v>4</v>
      </c>
      <c r="B616" s="21">
        <v>45998</v>
      </c>
      <c r="C616" t="s">
        <v>303</v>
      </c>
      <c r="D616">
        <v>12</v>
      </c>
      <c r="E616" t="s">
        <v>253</v>
      </c>
      <c r="F616" s="21">
        <v>37350</v>
      </c>
      <c r="G616" s="22">
        <v>45659</v>
      </c>
      <c r="H616" t="s">
        <v>279</v>
      </c>
      <c r="I616" t="s">
        <v>6</v>
      </c>
      <c r="J616" t="s">
        <v>64</v>
      </c>
      <c r="K616" t="s">
        <v>70</v>
      </c>
      <c r="L616" t="s">
        <v>203</v>
      </c>
    </row>
    <row r="617" spans="1:12" hidden="1" x14ac:dyDescent="0.2">
      <c r="A617">
        <v>4</v>
      </c>
      <c r="B617" s="21">
        <v>45998</v>
      </c>
      <c r="C617" t="s">
        <v>303</v>
      </c>
      <c r="D617">
        <v>12</v>
      </c>
      <c r="E617" t="s">
        <v>253</v>
      </c>
      <c r="F617" s="21">
        <v>37350</v>
      </c>
      <c r="G617" s="22">
        <v>45659</v>
      </c>
      <c r="H617" t="s">
        <v>279</v>
      </c>
      <c r="I617" t="s">
        <v>36</v>
      </c>
      <c r="J617" t="s">
        <v>64</v>
      </c>
      <c r="K617" t="s">
        <v>70</v>
      </c>
      <c r="L617" t="s">
        <v>203</v>
      </c>
    </row>
    <row r="618" spans="1:12" hidden="1" x14ac:dyDescent="0.2">
      <c r="A618">
        <v>4</v>
      </c>
      <c r="B618" s="21">
        <v>45998</v>
      </c>
      <c r="C618" t="s">
        <v>303</v>
      </c>
      <c r="D618">
        <v>12</v>
      </c>
      <c r="E618" t="s">
        <v>253</v>
      </c>
      <c r="F618" s="21">
        <v>37350</v>
      </c>
      <c r="G618" s="22">
        <v>45659</v>
      </c>
      <c r="H618" t="s">
        <v>287</v>
      </c>
      <c r="I618" t="s">
        <v>38</v>
      </c>
      <c r="J618" t="s">
        <v>66</v>
      </c>
      <c r="K618" t="s">
        <v>75</v>
      </c>
      <c r="L618" t="s">
        <v>204</v>
      </c>
    </row>
    <row r="619" spans="1:12" hidden="1" x14ac:dyDescent="0.2">
      <c r="A619">
        <v>4</v>
      </c>
      <c r="B619" s="21">
        <v>45998</v>
      </c>
      <c r="C619" t="s">
        <v>303</v>
      </c>
      <c r="D619">
        <v>12</v>
      </c>
      <c r="E619" t="s">
        <v>253</v>
      </c>
      <c r="F619" s="21">
        <v>37350</v>
      </c>
      <c r="G619" s="22">
        <v>45659</v>
      </c>
      <c r="H619" t="s">
        <v>284</v>
      </c>
      <c r="I619" t="s">
        <v>30</v>
      </c>
      <c r="J619" t="s">
        <v>64</v>
      </c>
      <c r="K619" t="s">
        <v>72</v>
      </c>
      <c r="L619" t="s">
        <v>202</v>
      </c>
    </row>
    <row r="620" spans="1:12" hidden="1" x14ac:dyDescent="0.2">
      <c r="A620">
        <v>4</v>
      </c>
      <c r="B620" s="21">
        <v>45998</v>
      </c>
      <c r="C620" t="s">
        <v>303</v>
      </c>
      <c r="D620">
        <v>12</v>
      </c>
      <c r="E620" t="s">
        <v>253</v>
      </c>
      <c r="F620" s="21">
        <v>37350</v>
      </c>
      <c r="G620" s="22">
        <v>45659</v>
      </c>
      <c r="H620" t="s">
        <v>293</v>
      </c>
      <c r="I620" t="s">
        <v>200</v>
      </c>
      <c r="J620" t="s">
        <v>71</v>
      </c>
      <c r="K620" t="s">
        <v>78</v>
      </c>
      <c r="L620" t="s">
        <v>202</v>
      </c>
    </row>
    <row r="621" spans="1:12" hidden="1" x14ac:dyDescent="0.2">
      <c r="A621">
        <v>4</v>
      </c>
      <c r="B621" s="21">
        <v>45998</v>
      </c>
      <c r="C621" t="s">
        <v>303</v>
      </c>
      <c r="D621">
        <v>12</v>
      </c>
      <c r="E621" t="s">
        <v>253</v>
      </c>
      <c r="F621" s="21">
        <v>37350</v>
      </c>
      <c r="G621" s="22">
        <v>45659</v>
      </c>
      <c r="H621" t="s">
        <v>293</v>
      </c>
      <c r="I621" t="s">
        <v>311</v>
      </c>
      <c r="J621" t="s">
        <v>71</v>
      </c>
      <c r="K621" t="s">
        <v>78</v>
      </c>
      <c r="L621" t="s">
        <v>203</v>
      </c>
    </row>
    <row r="622" spans="1:12" hidden="1" x14ac:dyDescent="0.2">
      <c r="A622">
        <v>4</v>
      </c>
      <c r="B622" s="21">
        <v>45998</v>
      </c>
      <c r="C622" t="s">
        <v>303</v>
      </c>
      <c r="D622">
        <v>12</v>
      </c>
      <c r="E622" t="s">
        <v>253</v>
      </c>
      <c r="F622" s="21">
        <v>37350</v>
      </c>
      <c r="G622" s="22">
        <v>45659</v>
      </c>
      <c r="H622" t="s">
        <v>285</v>
      </c>
      <c r="I622" t="s">
        <v>200</v>
      </c>
      <c r="J622" t="s">
        <v>68</v>
      </c>
      <c r="K622" t="s">
        <v>70</v>
      </c>
      <c r="L622" t="s">
        <v>203</v>
      </c>
    </row>
    <row r="623" spans="1:12" hidden="1" x14ac:dyDescent="0.2">
      <c r="A623">
        <v>4</v>
      </c>
      <c r="B623" s="21">
        <v>45998</v>
      </c>
      <c r="C623" t="s">
        <v>303</v>
      </c>
      <c r="D623">
        <v>12</v>
      </c>
      <c r="E623" t="s">
        <v>253</v>
      </c>
      <c r="F623" s="21">
        <v>37350</v>
      </c>
      <c r="G623" s="22">
        <v>45690</v>
      </c>
      <c r="H623" t="s">
        <v>284</v>
      </c>
      <c r="I623" t="s">
        <v>30</v>
      </c>
      <c r="J623" t="s">
        <v>71</v>
      </c>
      <c r="K623" t="s">
        <v>72</v>
      </c>
      <c r="L623" t="s">
        <v>202</v>
      </c>
    </row>
    <row r="624" spans="1:12" hidden="1" x14ac:dyDescent="0.2">
      <c r="A624">
        <v>4</v>
      </c>
      <c r="B624" s="21">
        <v>45998</v>
      </c>
      <c r="C624" t="s">
        <v>303</v>
      </c>
      <c r="D624">
        <v>12</v>
      </c>
      <c r="E624" t="s">
        <v>253</v>
      </c>
      <c r="F624" s="21">
        <v>37350</v>
      </c>
      <c r="G624" s="22">
        <v>45690</v>
      </c>
      <c r="H624" t="s">
        <v>284</v>
      </c>
      <c r="I624" t="s">
        <v>12</v>
      </c>
      <c r="J624" t="s">
        <v>71</v>
      </c>
      <c r="K624" t="s">
        <v>72</v>
      </c>
      <c r="L624" t="s">
        <v>202</v>
      </c>
    </row>
    <row r="625" spans="1:12" hidden="1" x14ac:dyDescent="0.2">
      <c r="A625">
        <v>4</v>
      </c>
      <c r="B625" s="21">
        <v>45998</v>
      </c>
      <c r="C625" t="s">
        <v>303</v>
      </c>
      <c r="D625">
        <v>12</v>
      </c>
      <c r="E625" t="s">
        <v>253</v>
      </c>
      <c r="F625" s="21">
        <v>37350</v>
      </c>
      <c r="G625" s="22">
        <v>45690</v>
      </c>
      <c r="H625" t="s">
        <v>284</v>
      </c>
      <c r="I625" t="s">
        <v>40</v>
      </c>
      <c r="J625" t="s">
        <v>71</v>
      </c>
      <c r="K625" t="s">
        <v>72</v>
      </c>
      <c r="L625" t="s">
        <v>202</v>
      </c>
    </row>
    <row r="626" spans="1:12" hidden="1" x14ac:dyDescent="0.2">
      <c r="A626">
        <v>4</v>
      </c>
      <c r="B626" s="21">
        <v>45998</v>
      </c>
      <c r="C626" t="s">
        <v>303</v>
      </c>
      <c r="D626">
        <v>12</v>
      </c>
      <c r="E626" t="s">
        <v>253</v>
      </c>
      <c r="F626" s="21">
        <v>37350</v>
      </c>
      <c r="G626" s="22">
        <v>45690</v>
      </c>
      <c r="H626" t="s">
        <v>287</v>
      </c>
      <c r="I626" t="s">
        <v>200</v>
      </c>
      <c r="J626" t="s">
        <v>71</v>
      </c>
      <c r="K626" t="s">
        <v>75</v>
      </c>
      <c r="L626" t="s">
        <v>204</v>
      </c>
    </row>
    <row r="627" spans="1:12" hidden="1" x14ac:dyDescent="0.2">
      <c r="A627">
        <v>4</v>
      </c>
      <c r="B627" s="21">
        <v>45998</v>
      </c>
      <c r="C627" t="s">
        <v>303</v>
      </c>
      <c r="D627">
        <v>12</v>
      </c>
      <c r="E627" t="s">
        <v>253</v>
      </c>
      <c r="F627" s="21">
        <v>37350</v>
      </c>
      <c r="G627" s="22">
        <v>45690</v>
      </c>
      <c r="H627" t="s">
        <v>287</v>
      </c>
      <c r="I627" t="s">
        <v>12</v>
      </c>
      <c r="J627" t="s">
        <v>66</v>
      </c>
      <c r="K627" t="s">
        <v>79</v>
      </c>
      <c r="L627" t="s">
        <v>203</v>
      </c>
    </row>
    <row r="628" spans="1:12" hidden="1" x14ac:dyDescent="0.2">
      <c r="A628">
        <v>4</v>
      </c>
      <c r="B628" s="21">
        <v>45998</v>
      </c>
      <c r="C628" t="s">
        <v>303</v>
      </c>
      <c r="D628">
        <v>12</v>
      </c>
      <c r="E628" t="s">
        <v>253</v>
      </c>
      <c r="F628" s="21">
        <v>37350</v>
      </c>
      <c r="G628" s="22">
        <v>45690</v>
      </c>
      <c r="H628" t="s">
        <v>279</v>
      </c>
      <c r="I628" t="s">
        <v>6</v>
      </c>
      <c r="J628" t="s">
        <v>66</v>
      </c>
      <c r="L628" t="s">
        <v>203</v>
      </c>
    </row>
    <row r="629" spans="1:12" hidden="1" x14ac:dyDescent="0.2">
      <c r="A629">
        <v>4</v>
      </c>
      <c r="B629" s="21">
        <v>45998</v>
      </c>
      <c r="C629" t="s">
        <v>303</v>
      </c>
      <c r="D629">
        <v>12</v>
      </c>
      <c r="E629" t="s">
        <v>253</v>
      </c>
      <c r="F629" s="21">
        <v>37350</v>
      </c>
      <c r="G629" s="22">
        <v>45690</v>
      </c>
      <c r="H629" t="s">
        <v>293</v>
      </c>
      <c r="I629" t="s">
        <v>12</v>
      </c>
      <c r="J629" t="s">
        <v>71</v>
      </c>
      <c r="K629" t="s">
        <v>70</v>
      </c>
      <c r="L629" t="s">
        <v>203</v>
      </c>
    </row>
    <row r="630" spans="1:12" hidden="1" x14ac:dyDescent="0.2">
      <c r="A630">
        <v>4</v>
      </c>
      <c r="B630" s="21">
        <v>45998</v>
      </c>
      <c r="C630" t="s">
        <v>303</v>
      </c>
      <c r="D630">
        <v>12</v>
      </c>
      <c r="E630" t="s">
        <v>253</v>
      </c>
      <c r="F630" s="21">
        <v>37350</v>
      </c>
      <c r="G630" s="22">
        <v>45690</v>
      </c>
      <c r="H630" t="s">
        <v>290</v>
      </c>
      <c r="I630" t="s">
        <v>6</v>
      </c>
      <c r="J630" t="s">
        <v>66</v>
      </c>
      <c r="K630" t="s">
        <v>74</v>
      </c>
      <c r="L630" t="s">
        <v>203</v>
      </c>
    </row>
    <row r="631" spans="1:12" hidden="1" x14ac:dyDescent="0.2">
      <c r="A631">
        <v>4</v>
      </c>
      <c r="B631" s="21">
        <v>45998</v>
      </c>
      <c r="C631" t="s">
        <v>303</v>
      </c>
      <c r="D631">
        <v>12</v>
      </c>
      <c r="E631" t="s">
        <v>253</v>
      </c>
      <c r="F631" s="21">
        <v>37350</v>
      </c>
      <c r="G631" s="22">
        <v>45690</v>
      </c>
      <c r="H631" t="s">
        <v>278</v>
      </c>
      <c r="I631" t="s">
        <v>6</v>
      </c>
      <c r="J631" t="s">
        <v>66</v>
      </c>
      <c r="K631" t="s">
        <v>74</v>
      </c>
      <c r="L631" t="s">
        <v>203</v>
      </c>
    </row>
    <row r="632" spans="1:12" hidden="1" x14ac:dyDescent="0.2">
      <c r="A632">
        <v>4</v>
      </c>
      <c r="B632" s="21">
        <v>45998</v>
      </c>
      <c r="C632" t="s">
        <v>303</v>
      </c>
      <c r="D632">
        <v>12</v>
      </c>
      <c r="E632" t="s">
        <v>253</v>
      </c>
      <c r="F632" s="21">
        <v>37350</v>
      </c>
      <c r="G632" s="22">
        <v>45690</v>
      </c>
      <c r="H632" t="s">
        <v>293</v>
      </c>
      <c r="I632" t="s">
        <v>6</v>
      </c>
      <c r="J632" t="s">
        <v>66</v>
      </c>
      <c r="K632" t="s">
        <v>74</v>
      </c>
      <c r="L632" t="s">
        <v>203</v>
      </c>
    </row>
    <row r="633" spans="1:12" hidden="1" x14ac:dyDescent="0.2">
      <c r="A633">
        <v>4</v>
      </c>
      <c r="B633" s="21">
        <v>45998</v>
      </c>
      <c r="C633" t="s">
        <v>303</v>
      </c>
      <c r="D633">
        <v>12</v>
      </c>
      <c r="E633" t="s">
        <v>253</v>
      </c>
      <c r="F633" s="21">
        <v>37350</v>
      </c>
      <c r="G633" s="22">
        <v>45690</v>
      </c>
      <c r="H633" t="s">
        <v>285</v>
      </c>
      <c r="I633" t="s">
        <v>38</v>
      </c>
      <c r="J633" t="s">
        <v>66</v>
      </c>
      <c r="K633" t="s">
        <v>79</v>
      </c>
      <c r="L633" t="s">
        <v>203</v>
      </c>
    </row>
    <row r="634" spans="1:12" hidden="1" x14ac:dyDescent="0.2">
      <c r="A634">
        <v>4</v>
      </c>
      <c r="B634" s="21">
        <v>45998</v>
      </c>
      <c r="C634" t="s">
        <v>303</v>
      </c>
      <c r="D634">
        <v>12</v>
      </c>
      <c r="E634" t="s">
        <v>253</v>
      </c>
      <c r="F634" s="21">
        <v>37350</v>
      </c>
      <c r="G634" s="22">
        <v>45690</v>
      </c>
      <c r="H634" t="s">
        <v>278</v>
      </c>
      <c r="I634" t="s">
        <v>200</v>
      </c>
      <c r="J634" t="s">
        <v>71</v>
      </c>
      <c r="K634" t="s">
        <v>67</v>
      </c>
      <c r="L634" t="s">
        <v>202</v>
      </c>
    </row>
    <row r="635" spans="1:12" hidden="1" x14ac:dyDescent="0.2">
      <c r="A635">
        <v>4</v>
      </c>
      <c r="B635" s="21">
        <v>45998</v>
      </c>
      <c r="C635" t="s">
        <v>303</v>
      </c>
      <c r="D635">
        <v>12</v>
      </c>
      <c r="E635" t="s">
        <v>253</v>
      </c>
      <c r="F635" s="21">
        <v>37350</v>
      </c>
      <c r="G635" s="22">
        <v>45690</v>
      </c>
      <c r="H635" t="s">
        <v>279</v>
      </c>
      <c r="I635" t="s">
        <v>311</v>
      </c>
      <c r="J635" t="s">
        <v>71</v>
      </c>
      <c r="K635" t="s">
        <v>74</v>
      </c>
      <c r="L635" t="s">
        <v>203</v>
      </c>
    </row>
    <row r="636" spans="1:12" hidden="1" x14ac:dyDescent="0.2">
      <c r="A636">
        <v>4</v>
      </c>
      <c r="B636" s="21">
        <v>45998</v>
      </c>
      <c r="C636" t="s">
        <v>303</v>
      </c>
      <c r="D636">
        <v>12</v>
      </c>
      <c r="E636" t="s">
        <v>253</v>
      </c>
      <c r="F636" s="21">
        <v>37350</v>
      </c>
      <c r="G636" s="22">
        <v>45690</v>
      </c>
      <c r="H636" t="s">
        <v>294</v>
      </c>
      <c r="I636" t="s">
        <v>200</v>
      </c>
      <c r="J636" t="s">
        <v>71</v>
      </c>
      <c r="K636" t="s">
        <v>73</v>
      </c>
      <c r="L636" t="s">
        <v>203</v>
      </c>
    </row>
    <row r="637" spans="1:12" hidden="1" x14ac:dyDescent="0.2">
      <c r="A637">
        <v>4</v>
      </c>
      <c r="B637" s="21">
        <v>45998</v>
      </c>
      <c r="C637" t="s">
        <v>303</v>
      </c>
      <c r="D637">
        <v>12</v>
      </c>
      <c r="E637" t="s">
        <v>253</v>
      </c>
      <c r="F637" s="21">
        <v>37350</v>
      </c>
      <c r="G637" s="22">
        <v>45690</v>
      </c>
      <c r="H637" t="s">
        <v>293</v>
      </c>
      <c r="I637" t="s">
        <v>6</v>
      </c>
      <c r="J637" t="s">
        <v>66</v>
      </c>
      <c r="K637" t="s">
        <v>70</v>
      </c>
      <c r="L637" t="s">
        <v>203</v>
      </c>
    </row>
    <row r="638" spans="1:12" hidden="1" x14ac:dyDescent="0.2">
      <c r="A638">
        <v>4</v>
      </c>
      <c r="B638" s="21">
        <v>45998</v>
      </c>
      <c r="C638" t="s">
        <v>303</v>
      </c>
      <c r="D638">
        <v>12</v>
      </c>
      <c r="E638" t="s">
        <v>253</v>
      </c>
      <c r="F638" s="21">
        <v>37350</v>
      </c>
      <c r="G638" s="22">
        <v>45690</v>
      </c>
      <c r="H638" t="s">
        <v>279</v>
      </c>
      <c r="I638" t="s">
        <v>6</v>
      </c>
      <c r="J638" t="s">
        <v>66</v>
      </c>
      <c r="L638" t="s">
        <v>203</v>
      </c>
    </row>
    <row r="639" spans="1:12" hidden="1" x14ac:dyDescent="0.2">
      <c r="A639">
        <v>4</v>
      </c>
      <c r="B639" s="21">
        <v>45998</v>
      </c>
      <c r="C639" t="s">
        <v>303</v>
      </c>
      <c r="D639">
        <v>12</v>
      </c>
      <c r="E639" t="s">
        <v>253</v>
      </c>
      <c r="F639" s="21">
        <v>37350</v>
      </c>
      <c r="G639" s="22">
        <v>45690</v>
      </c>
      <c r="H639" t="s">
        <v>292</v>
      </c>
      <c r="I639" t="s">
        <v>311</v>
      </c>
      <c r="J639" t="s">
        <v>71</v>
      </c>
      <c r="L639" t="s">
        <v>203</v>
      </c>
    </row>
    <row r="640" spans="1:12" hidden="1" x14ac:dyDescent="0.2">
      <c r="A640">
        <v>4</v>
      </c>
      <c r="B640" s="21">
        <v>45998</v>
      </c>
      <c r="C640" t="s">
        <v>303</v>
      </c>
      <c r="D640">
        <v>12</v>
      </c>
      <c r="E640" t="s">
        <v>253</v>
      </c>
      <c r="F640" s="21">
        <v>37350</v>
      </c>
      <c r="G640" s="22">
        <v>45690</v>
      </c>
      <c r="H640" t="s">
        <v>292</v>
      </c>
      <c r="I640" t="s">
        <v>14</v>
      </c>
      <c r="J640" t="s">
        <v>71</v>
      </c>
      <c r="K640" t="s">
        <v>78</v>
      </c>
      <c r="L640" t="s">
        <v>204</v>
      </c>
    </row>
    <row r="641" spans="1:12" hidden="1" x14ac:dyDescent="0.2">
      <c r="A641">
        <v>4</v>
      </c>
      <c r="B641" s="21">
        <v>45998</v>
      </c>
      <c r="C641" t="s">
        <v>303</v>
      </c>
      <c r="D641">
        <v>12</v>
      </c>
      <c r="E641" t="s">
        <v>253</v>
      </c>
      <c r="F641" s="21">
        <v>37350</v>
      </c>
      <c r="G641" s="22">
        <v>45690</v>
      </c>
      <c r="H641" t="s">
        <v>287</v>
      </c>
      <c r="I641" t="s">
        <v>261</v>
      </c>
      <c r="J641" t="s">
        <v>64</v>
      </c>
      <c r="L641" t="s">
        <v>204</v>
      </c>
    </row>
    <row r="642" spans="1:12" hidden="1" x14ac:dyDescent="0.2">
      <c r="A642">
        <v>4</v>
      </c>
      <c r="B642" s="21">
        <v>45998</v>
      </c>
      <c r="C642" t="s">
        <v>303</v>
      </c>
      <c r="D642">
        <v>12</v>
      </c>
      <c r="E642" t="s">
        <v>253</v>
      </c>
      <c r="F642" s="21">
        <v>37350</v>
      </c>
      <c r="G642" s="22">
        <v>45690</v>
      </c>
      <c r="H642" t="s">
        <v>284</v>
      </c>
      <c r="I642" t="s">
        <v>199</v>
      </c>
      <c r="J642" t="s">
        <v>71</v>
      </c>
      <c r="K642" t="s">
        <v>72</v>
      </c>
      <c r="L642" t="s">
        <v>202</v>
      </c>
    </row>
    <row r="643" spans="1:12" hidden="1" x14ac:dyDescent="0.2">
      <c r="A643">
        <v>4</v>
      </c>
      <c r="B643" s="21">
        <v>45998</v>
      </c>
      <c r="C643" t="s">
        <v>303</v>
      </c>
      <c r="D643">
        <v>12</v>
      </c>
      <c r="E643" t="s">
        <v>253</v>
      </c>
      <c r="F643" s="21">
        <v>37350</v>
      </c>
      <c r="G643" s="22">
        <v>45690</v>
      </c>
      <c r="H643" t="s">
        <v>278</v>
      </c>
      <c r="I643" t="s">
        <v>200</v>
      </c>
      <c r="J643" t="s">
        <v>64</v>
      </c>
      <c r="K643" t="s">
        <v>65</v>
      </c>
      <c r="L643" t="s">
        <v>202</v>
      </c>
    </row>
    <row r="644" spans="1:12" hidden="1" x14ac:dyDescent="0.2">
      <c r="A644">
        <v>4</v>
      </c>
      <c r="B644" s="21">
        <v>45998</v>
      </c>
      <c r="C644" t="s">
        <v>303</v>
      </c>
      <c r="D644">
        <v>12</v>
      </c>
      <c r="E644" t="s">
        <v>253</v>
      </c>
      <c r="F644" s="21">
        <v>37350</v>
      </c>
      <c r="G644" s="22">
        <v>45690</v>
      </c>
      <c r="H644" t="s">
        <v>295</v>
      </c>
      <c r="I644" t="s">
        <v>200</v>
      </c>
      <c r="J644" t="s">
        <v>71</v>
      </c>
      <c r="K644" t="s">
        <v>65</v>
      </c>
      <c r="L644" t="s">
        <v>202</v>
      </c>
    </row>
    <row r="645" spans="1:12" hidden="1" x14ac:dyDescent="0.2">
      <c r="A645">
        <v>4</v>
      </c>
      <c r="B645" s="21">
        <v>45998</v>
      </c>
      <c r="C645" t="s">
        <v>303</v>
      </c>
      <c r="D645">
        <v>12</v>
      </c>
      <c r="E645" t="s">
        <v>253</v>
      </c>
      <c r="F645" s="21">
        <v>37350</v>
      </c>
      <c r="G645" s="22">
        <v>45690</v>
      </c>
      <c r="H645" t="s">
        <v>306</v>
      </c>
      <c r="I645" t="s">
        <v>200</v>
      </c>
      <c r="J645" t="s">
        <v>71</v>
      </c>
      <c r="K645" t="s">
        <v>69</v>
      </c>
      <c r="L645" t="s">
        <v>204</v>
      </c>
    </row>
    <row r="646" spans="1:12" hidden="1" x14ac:dyDescent="0.2">
      <c r="A646">
        <v>4</v>
      </c>
      <c r="B646" s="21">
        <v>45998</v>
      </c>
      <c r="C646" t="s">
        <v>303</v>
      </c>
      <c r="D646">
        <v>12</v>
      </c>
      <c r="E646" t="s">
        <v>253</v>
      </c>
      <c r="F646" s="21">
        <v>37350</v>
      </c>
      <c r="G646" s="22">
        <v>45690</v>
      </c>
      <c r="H646" t="s">
        <v>278</v>
      </c>
      <c r="I646" t="s">
        <v>311</v>
      </c>
      <c r="J646" t="s">
        <v>71</v>
      </c>
      <c r="K646" t="s">
        <v>69</v>
      </c>
      <c r="L646" t="s">
        <v>204</v>
      </c>
    </row>
    <row r="647" spans="1:12" hidden="1" x14ac:dyDescent="0.2">
      <c r="A647">
        <v>4</v>
      </c>
      <c r="B647" s="21">
        <v>45998</v>
      </c>
      <c r="C647" t="s">
        <v>303</v>
      </c>
      <c r="D647">
        <v>12</v>
      </c>
      <c r="E647" t="s">
        <v>253</v>
      </c>
      <c r="F647" s="21">
        <v>37350</v>
      </c>
      <c r="G647" s="22">
        <v>45690</v>
      </c>
      <c r="H647" t="s">
        <v>278</v>
      </c>
      <c r="I647" t="s">
        <v>14</v>
      </c>
      <c r="J647" t="s">
        <v>71</v>
      </c>
      <c r="K647" t="s">
        <v>69</v>
      </c>
      <c r="L647" t="s">
        <v>204</v>
      </c>
    </row>
    <row r="648" spans="1:12" hidden="1" x14ac:dyDescent="0.2">
      <c r="A648">
        <v>4</v>
      </c>
      <c r="B648" s="21">
        <v>45998</v>
      </c>
      <c r="C648" t="s">
        <v>303</v>
      </c>
      <c r="D648">
        <v>12</v>
      </c>
      <c r="E648" t="s">
        <v>253</v>
      </c>
      <c r="F648" s="21">
        <v>37350</v>
      </c>
      <c r="G648" s="22">
        <v>45690</v>
      </c>
      <c r="H648" t="s">
        <v>287</v>
      </c>
      <c r="I648" t="s">
        <v>261</v>
      </c>
      <c r="J648" t="s">
        <v>66</v>
      </c>
      <c r="K648" t="s">
        <v>75</v>
      </c>
      <c r="L648" t="s">
        <v>204</v>
      </c>
    </row>
    <row r="649" spans="1:12" hidden="1" x14ac:dyDescent="0.2">
      <c r="A649">
        <v>4</v>
      </c>
      <c r="B649" s="21">
        <v>45998</v>
      </c>
      <c r="C649" t="s">
        <v>303</v>
      </c>
      <c r="D649">
        <v>12</v>
      </c>
      <c r="E649" t="s">
        <v>253</v>
      </c>
      <c r="F649" s="21">
        <v>37350</v>
      </c>
      <c r="G649" s="22">
        <v>45690</v>
      </c>
      <c r="H649" t="s">
        <v>287</v>
      </c>
      <c r="I649" t="s">
        <v>12</v>
      </c>
      <c r="J649" t="s">
        <v>71</v>
      </c>
      <c r="K649" t="s">
        <v>69</v>
      </c>
      <c r="L649" t="s">
        <v>204</v>
      </c>
    </row>
    <row r="650" spans="1:12" hidden="1" x14ac:dyDescent="0.2">
      <c r="A650">
        <v>4</v>
      </c>
      <c r="B650" s="21">
        <v>45998</v>
      </c>
      <c r="C650" t="s">
        <v>303</v>
      </c>
      <c r="D650">
        <v>12</v>
      </c>
      <c r="E650" t="s">
        <v>253</v>
      </c>
      <c r="F650" s="21">
        <v>37350</v>
      </c>
      <c r="G650" s="22">
        <v>45690</v>
      </c>
      <c r="H650" t="s">
        <v>294</v>
      </c>
      <c r="I650" t="s">
        <v>200</v>
      </c>
      <c r="J650" t="s">
        <v>71</v>
      </c>
      <c r="K650" t="s">
        <v>72</v>
      </c>
      <c r="L650" t="s">
        <v>202</v>
      </c>
    </row>
    <row r="651" spans="1:12" hidden="1" x14ac:dyDescent="0.2">
      <c r="A651">
        <v>4</v>
      </c>
      <c r="B651" s="21">
        <v>45998</v>
      </c>
      <c r="C651" t="s">
        <v>303</v>
      </c>
      <c r="D651">
        <v>12</v>
      </c>
      <c r="E651" t="s">
        <v>253</v>
      </c>
      <c r="F651" s="21">
        <v>37350</v>
      </c>
      <c r="G651" s="22">
        <v>45690</v>
      </c>
      <c r="H651" t="s">
        <v>293</v>
      </c>
      <c r="I651" t="s">
        <v>199</v>
      </c>
      <c r="J651" t="s">
        <v>68</v>
      </c>
      <c r="K651" t="s">
        <v>74</v>
      </c>
      <c r="L651" t="s">
        <v>203</v>
      </c>
    </row>
    <row r="652" spans="1:12" hidden="1" x14ac:dyDescent="0.2">
      <c r="A652">
        <v>4</v>
      </c>
      <c r="B652" s="21">
        <v>45998</v>
      </c>
      <c r="C652" t="s">
        <v>303</v>
      </c>
      <c r="D652">
        <v>12</v>
      </c>
      <c r="E652" t="s">
        <v>253</v>
      </c>
      <c r="F652" s="21">
        <v>37350</v>
      </c>
      <c r="G652" s="22">
        <v>45690</v>
      </c>
      <c r="H652" t="s">
        <v>279</v>
      </c>
      <c r="I652" t="s">
        <v>12</v>
      </c>
      <c r="J652" t="s">
        <v>71</v>
      </c>
      <c r="L652" t="s">
        <v>204</v>
      </c>
    </row>
    <row r="653" spans="1:12" hidden="1" x14ac:dyDescent="0.2">
      <c r="A653">
        <v>4</v>
      </c>
      <c r="B653" s="21">
        <v>45998</v>
      </c>
      <c r="C653" t="s">
        <v>303</v>
      </c>
      <c r="D653">
        <v>12</v>
      </c>
      <c r="E653" t="s">
        <v>253</v>
      </c>
      <c r="F653" s="21">
        <v>37350</v>
      </c>
      <c r="G653" s="22">
        <v>45690</v>
      </c>
      <c r="H653" t="s">
        <v>279</v>
      </c>
      <c r="I653" t="s">
        <v>23</v>
      </c>
      <c r="J653" t="s">
        <v>71</v>
      </c>
      <c r="L653" t="s">
        <v>204</v>
      </c>
    </row>
    <row r="654" spans="1:12" hidden="1" x14ac:dyDescent="0.2">
      <c r="A654">
        <v>4</v>
      </c>
      <c r="B654" s="21">
        <v>45998</v>
      </c>
      <c r="C654" t="s">
        <v>303</v>
      </c>
      <c r="D654">
        <v>12</v>
      </c>
      <c r="E654" t="s">
        <v>253</v>
      </c>
      <c r="F654" s="21">
        <v>37350</v>
      </c>
      <c r="G654" s="22">
        <v>45690</v>
      </c>
      <c r="H654" t="s">
        <v>292</v>
      </c>
      <c r="I654" t="s">
        <v>311</v>
      </c>
      <c r="J654" t="s">
        <v>71</v>
      </c>
      <c r="L654" t="s">
        <v>203</v>
      </c>
    </row>
    <row r="655" spans="1:12" hidden="1" x14ac:dyDescent="0.2">
      <c r="A655">
        <v>4</v>
      </c>
      <c r="B655" s="21">
        <v>45998</v>
      </c>
      <c r="C655" t="s">
        <v>303</v>
      </c>
      <c r="D655">
        <v>12</v>
      </c>
      <c r="E655" t="s">
        <v>253</v>
      </c>
      <c r="F655" s="21">
        <v>37350</v>
      </c>
      <c r="G655" s="22">
        <v>45690</v>
      </c>
      <c r="H655" t="s">
        <v>292</v>
      </c>
      <c r="I655" t="s">
        <v>14</v>
      </c>
      <c r="J655" t="s">
        <v>71</v>
      </c>
      <c r="K655" t="s">
        <v>78</v>
      </c>
      <c r="L655" t="s">
        <v>204</v>
      </c>
    </row>
    <row r="656" spans="1:12" hidden="1" x14ac:dyDescent="0.2">
      <c r="A656">
        <v>4</v>
      </c>
      <c r="B656" s="21">
        <v>45998</v>
      </c>
      <c r="C656" t="s">
        <v>303</v>
      </c>
      <c r="D656">
        <v>12</v>
      </c>
      <c r="E656" t="s">
        <v>253</v>
      </c>
      <c r="F656" s="21">
        <v>37350</v>
      </c>
      <c r="G656" s="22">
        <v>45690</v>
      </c>
      <c r="H656" t="s">
        <v>294</v>
      </c>
      <c r="J656" t="s">
        <v>71</v>
      </c>
      <c r="L656" t="s">
        <v>203</v>
      </c>
    </row>
    <row r="657" spans="1:12" hidden="1" x14ac:dyDescent="0.2">
      <c r="A657">
        <v>4</v>
      </c>
      <c r="B657" s="21">
        <v>45998</v>
      </c>
      <c r="C657" t="s">
        <v>303</v>
      </c>
      <c r="D657">
        <v>12</v>
      </c>
      <c r="E657" t="s">
        <v>253</v>
      </c>
      <c r="F657" s="21">
        <v>37350</v>
      </c>
      <c r="G657" s="22">
        <v>45690</v>
      </c>
      <c r="H657" t="s">
        <v>292</v>
      </c>
      <c r="I657" t="s">
        <v>12</v>
      </c>
      <c r="J657" t="s">
        <v>71</v>
      </c>
      <c r="L657" t="s">
        <v>203</v>
      </c>
    </row>
    <row r="658" spans="1:12" hidden="1" x14ac:dyDescent="0.2">
      <c r="A658">
        <v>4</v>
      </c>
      <c r="B658" s="21">
        <v>45998</v>
      </c>
      <c r="C658" t="s">
        <v>303</v>
      </c>
      <c r="D658">
        <v>12</v>
      </c>
      <c r="E658" t="s">
        <v>253</v>
      </c>
      <c r="F658" s="21">
        <v>37350</v>
      </c>
      <c r="G658" s="22">
        <v>45690</v>
      </c>
      <c r="H658" t="s">
        <v>292</v>
      </c>
      <c r="I658" t="s">
        <v>40</v>
      </c>
      <c r="J658" t="s">
        <v>71</v>
      </c>
      <c r="L658" t="s">
        <v>203</v>
      </c>
    </row>
    <row r="659" spans="1:12" hidden="1" x14ac:dyDescent="0.2">
      <c r="A659">
        <v>4</v>
      </c>
      <c r="B659" s="21">
        <v>45998</v>
      </c>
      <c r="C659" t="s">
        <v>303</v>
      </c>
      <c r="D659">
        <v>12</v>
      </c>
      <c r="E659" t="s">
        <v>253</v>
      </c>
      <c r="F659" s="21">
        <v>37350</v>
      </c>
      <c r="G659" s="22">
        <v>45690</v>
      </c>
      <c r="H659" t="s">
        <v>292</v>
      </c>
      <c r="I659" t="s">
        <v>30</v>
      </c>
      <c r="J659" t="s">
        <v>71</v>
      </c>
      <c r="L659" t="s">
        <v>203</v>
      </c>
    </row>
    <row r="660" spans="1:12" hidden="1" x14ac:dyDescent="0.2">
      <c r="A660">
        <v>4</v>
      </c>
      <c r="B660" s="21">
        <v>45998</v>
      </c>
      <c r="C660" t="s">
        <v>303</v>
      </c>
      <c r="D660">
        <v>12</v>
      </c>
      <c r="E660" t="s">
        <v>253</v>
      </c>
      <c r="F660" s="21">
        <v>37350</v>
      </c>
      <c r="G660" s="22">
        <v>45690</v>
      </c>
      <c r="H660" t="s">
        <v>287</v>
      </c>
      <c r="I660" t="s">
        <v>261</v>
      </c>
      <c r="J660" t="s">
        <v>64</v>
      </c>
      <c r="L660" t="s">
        <v>204</v>
      </c>
    </row>
    <row r="661" spans="1:12" hidden="1" x14ac:dyDescent="0.2">
      <c r="A661">
        <v>4</v>
      </c>
      <c r="B661" s="21">
        <v>45998</v>
      </c>
      <c r="C661" t="s">
        <v>303</v>
      </c>
      <c r="D661">
        <v>12</v>
      </c>
      <c r="E661" t="s">
        <v>253</v>
      </c>
      <c r="F661" s="21">
        <v>37350</v>
      </c>
      <c r="G661" s="22">
        <v>45690</v>
      </c>
      <c r="H661" t="s">
        <v>287</v>
      </c>
      <c r="I661" t="s">
        <v>30</v>
      </c>
      <c r="J661" t="s">
        <v>71</v>
      </c>
      <c r="L661" t="s">
        <v>203</v>
      </c>
    </row>
    <row r="662" spans="1:12" hidden="1" x14ac:dyDescent="0.2">
      <c r="A662">
        <v>4</v>
      </c>
      <c r="B662" s="21">
        <v>45998</v>
      </c>
      <c r="C662" t="s">
        <v>303</v>
      </c>
      <c r="D662">
        <v>12</v>
      </c>
      <c r="E662" t="s">
        <v>253</v>
      </c>
      <c r="F662" s="21">
        <v>37350</v>
      </c>
      <c r="G662" s="22">
        <v>45690</v>
      </c>
      <c r="H662" t="s">
        <v>293</v>
      </c>
      <c r="I662" t="s">
        <v>30</v>
      </c>
      <c r="J662" t="s">
        <v>71</v>
      </c>
      <c r="L662" t="s">
        <v>203</v>
      </c>
    </row>
    <row r="663" spans="1:12" hidden="1" x14ac:dyDescent="0.2">
      <c r="A663">
        <v>4</v>
      </c>
      <c r="B663" s="21">
        <v>45998</v>
      </c>
      <c r="C663" t="s">
        <v>303</v>
      </c>
      <c r="D663">
        <v>12</v>
      </c>
      <c r="E663" t="s">
        <v>253</v>
      </c>
      <c r="F663" s="21">
        <v>37350</v>
      </c>
      <c r="G663" s="22">
        <v>45690</v>
      </c>
      <c r="H663" t="s">
        <v>293</v>
      </c>
      <c r="I663" t="s">
        <v>36</v>
      </c>
      <c r="J663" t="s">
        <v>71</v>
      </c>
      <c r="L663" t="s">
        <v>203</v>
      </c>
    </row>
    <row r="664" spans="1:12" hidden="1" x14ac:dyDescent="0.2">
      <c r="A664">
        <v>4</v>
      </c>
      <c r="B664" s="21">
        <v>45998</v>
      </c>
      <c r="C664" t="s">
        <v>303</v>
      </c>
      <c r="D664">
        <v>12</v>
      </c>
      <c r="E664" t="s">
        <v>253</v>
      </c>
      <c r="F664" s="21">
        <v>37350</v>
      </c>
      <c r="G664" s="22">
        <v>45690</v>
      </c>
      <c r="H664" t="s">
        <v>306</v>
      </c>
      <c r="I664" t="s">
        <v>200</v>
      </c>
      <c r="J664" t="s">
        <v>64</v>
      </c>
      <c r="K664" t="s">
        <v>75</v>
      </c>
      <c r="L664" t="s">
        <v>204</v>
      </c>
    </row>
    <row r="665" spans="1:12" hidden="1" x14ac:dyDescent="0.2">
      <c r="A665">
        <v>4</v>
      </c>
      <c r="B665" s="21">
        <v>45998</v>
      </c>
      <c r="C665" t="s">
        <v>303</v>
      </c>
      <c r="D665">
        <v>12</v>
      </c>
      <c r="E665" t="s">
        <v>253</v>
      </c>
      <c r="F665" s="21">
        <v>37350</v>
      </c>
      <c r="G665" s="22">
        <v>45718</v>
      </c>
      <c r="H665" t="s">
        <v>279</v>
      </c>
      <c r="I665" t="s">
        <v>23</v>
      </c>
      <c r="J665" t="s">
        <v>71</v>
      </c>
      <c r="K665" t="s">
        <v>75</v>
      </c>
      <c r="L665" t="s">
        <v>204</v>
      </c>
    </row>
    <row r="666" spans="1:12" hidden="1" x14ac:dyDescent="0.2">
      <c r="A666">
        <v>4</v>
      </c>
      <c r="B666" s="21">
        <v>45998</v>
      </c>
      <c r="C666" t="s">
        <v>303</v>
      </c>
      <c r="D666">
        <v>12</v>
      </c>
      <c r="E666" t="s">
        <v>253</v>
      </c>
      <c r="F666" s="21">
        <v>37350</v>
      </c>
      <c r="G666" s="22">
        <v>45718</v>
      </c>
      <c r="H666" t="s">
        <v>294</v>
      </c>
      <c r="I666" t="s">
        <v>12</v>
      </c>
      <c r="J666" t="s">
        <v>71</v>
      </c>
      <c r="K666" t="s">
        <v>75</v>
      </c>
      <c r="L666" t="s">
        <v>204</v>
      </c>
    </row>
    <row r="667" spans="1:12" hidden="1" x14ac:dyDescent="0.2">
      <c r="A667">
        <v>4</v>
      </c>
      <c r="B667" s="21">
        <v>45998</v>
      </c>
      <c r="C667" t="s">
        <v>303</v>
      </c>
      <c r="D667">
        <v>12</v>
      </c>
      <c r="E667" t="s">
        <v>253</v>
      </c>
      <c r="F667" s="21">
        <v>37350</v>
      </c>
      <c r="G667" s="22">
        <v>45718</v>
      </c>
      <c r="H667" t="s">
        <v>287</v>
      </c>
      <c r="I667" t="s">
        <v>12</v>
      </c>
      <c r="J667" t="s">
        <v>71</v>
      </c>
      <c r="K667" t="s">
        <v>75</v>
      </c>
      <c r="L667" t="s">
        <v>204</v>
      </c>
    </row>
    <row r="668" spans="1:12" hidden="1" x14ac:dyDescent="0.2">
      <c r="A668">
        <v>4</v>
      </c>
      <c r="B668" s="21">
        <v>45998</v>
      </c>
      <c r="C668" t="s">
        <v>303</v>
      </c>
      <c r="D668">
        <v>12</v>
      </c>
      <c r="E668" t="s">
        <v>253</v>
      </c>
      <c r="F668" s="21">
        <v>37350</v>
      </c>
      <c r="G668" s="22">
        <v>45718</v>
      </c>
      <c r="H668" t="s">
        <v>287</v>
      </c>
      <c r="I668" t="s">
        <v>9</v>
      </c>
      <c r="J668" t="s">
        <v>66</v>
      </c>
      <c r="K668" t="s">
        <v>75</v>
      </c>
      <c r="L668" t="s">
        <v>204</v>
      </c>
    </row>
    <row r="669" spans="1:12" hidden="1" x14ac:dyDescent="0.2">
      <c r="A669">
        <v>4</v>
      </c>
      <c r="B669" s="21">
        <v>45998</v>
      </c>
      <c r="C669" t="s">
        <v>303</v>
      </c>
      <c r="D669">
        <v>12</v>
      </c>
      <c r="E669" t="s">
        <v>253</v>
      </c>
      <c r="F669" s="21">
        <v>37350</v>
      </c>
      <c r="G669" s="22">
        <v>45718</v>
      </c>
      <c r="H669" t="s">
        <v>287</v>
      </c>
      <c r="I669" t="s">
        <v>14</v>
      </c>
      <c r="J669" t="s">
        <v>80</v>
      </c>
      <c r="K669" t="s">
        <v>75</v>
      </c>
      <c r="L669" t="s">
        <v>204</v>
      </c>
    </row>
    <row r="670" spans="1:12" hidden="1" x14ac:dyDescent="0.2">
      <c r="A670">
        <v>4</v>
      </c>
      <c r="B670" s="21">
        <v>45998</v>
      </c>
      <c r="C670" t="s">
        <v>303</v>
      </c>
      <c r="D670">
        <v>12</v>
      </c>
      <c r="E670" t="s">
        <v>253</v>
      </c>
      <c r="F670" s="21">
        <v>37350</v>
      </c>
      <c r="G670" s="22">
        <v>45718</v>
      </c>
      <c r="H670" t="s">
        <v>278</v>
      </c>
      <c r="I670" t="s">
        <v>200</v>
      </c>
      <c r="J670" t="s">
        <v>71</v>
      </c>
      <c r="L670" t="s">
        <v>202</v>
      </c>
    </row>
    <row r="671" spans="1:12" hidden="1" x14ac:dyDescent="0.2">
      <c r="A671">
        <v>4</v>
      </c>
      <c r="B671" s="21">
        <v>45998</v>
      </c>
      <c r="C671" t="s">
        <v>303</v>
      </c>
      <c r="D671">
        <v>12</v>
      </c>
      <c r="E671" t="s">
        <v>253</v>
      </c>
      <c r="F671" s="21">
        <v>37350</v>
      </c>
      <c r="G671" s="22">
        <v>45718</v>
      </c>
      <c r="H671" t="s">
        <v>293</v>
      </c>
      <c r="I671" t="s">
        <v>6</v>
      </c>
      <c r="J671" t="s">
        <v>66</v>
      </c>
      <c r="L671" t="s">
        <v>203</v>
      </c>
    </row>
    <row r="672" spans="1:12" hidden="1" x14ac:dyDescent="0.2">
      <c r="A672">
        <v>4</v>
      </c>
      <c r="B672" s="21">
        <v>45998</v>
      </c>
      <c r="C672" t="s">
        <v>303</v>
      </c>
      <c r="D672">
        <v>12</v>
      </c>
      <c r="E672" t="s">
        <v>253</v>
      </c>
      <c r="F672" s="21">
        <v>37350</v>
      </c>
      <c r="G672" s="22">
        <v>45718</v>
      </c>
      <c r="H672" t="s">
        <v>293</v>
      </c>
      <c r="I672" t="s">
        <v>12</v>
      </c>
      <c r="J672" t="s">
        <v>66</v>
      </c>
      <c r="L672" t="s">
        <v>203</v>
      </c>
    </row>
    <row r="673" spans="1:12" hidden="1" x14ac:dyDescent="0.2">
      <c r="A673">
        <v>4</v>
      </c>
      <c r="B673" s="21">
        <v>45998</v>
      </c>
      <c r="C673" t="s">
        <v>303</v>
      </c>
      <c r="D673">
        <v>12</v>
      </c>
      <c r="E673" t="s">
        <v>253</v>
      </c>
      <c r="F673" s="21">
        <v>37350</v>
      </c>
      <c r="G673" s="22">
        <v>45718</v>
      </c>
      <c r="H673" t="s">
        <v>293</v>
      </c>
      <c r="I673" t="s">
        <v>36</v>
      </c>
      <c r="J673" t="s">
        <v>64</v>
      </c>
      <c r="L673" t="s">
        <v>203</v>
      </c>
    </row>
    <row r="674" spans="1:12" hidden="1" x14ac:dyDescent="0.2">
      <c r="A674">
        <v>4</v>
      </c>
      <c r="B674" s="21">
        <v>45998</v>
      </c>
      <c r="C674" t="s">
        <v>303</v>
      </c>
      <c r="D674">
        <v>12</v>
      </c>
      <c r="E674" t="s">
        <v>253</v>
      </c>
      <c r="F674" s="21">
        <v>37350</v>
      </c>
      <c r="G674" s="22">
        <v>45718</v>
      </c>
      <c r="H674" t="s">
        <v>295</v>
      </c>
      <c r="I674" t="s">
        <v>200</v>
      </c>
      <c r="J674" t="s">
        <v>71</v>
      </c>
      <c r="K674" t="s">
        <v>65</v>
      </c>
      <c r="L674" t="s">
        <v>202</v>
      </c>
    </row>
    <row r="675" spans="1:12" hidden="1" x14ac:dyDescent="0.2">
      <c r="A675">
        <v>4</v>
      </c>
      <c r="B675" s="21">
        <v>45998</v>
      </c>
      <c r="C675" t="s">
        <v>303</v>
      </c>
      <c r="D675">
        <v>12</v>
      </c>
      <c r="E675" t="s">
        <v>253</v>
      </c>
      <c r="F675" s="21">
        <v>37350</v>
      </c>
      <c r="G675" s="22">
        <v>45718</v>
      </c>
      <c r="H675" t="s">
        <v>292</v>
      </c>
      <c r="I675" t="s">
        <v>205</v>
      </c>
      <c r="J675" t="s">
        <v>64</v>
      </c>
      <c r="L675" t="s">
        <v>203</v>
      </c>
    </row>
    <row r="676" spans="1:12" hidden="1" x14ac:dyDescent="0.2">
      <c r="A676">
        <v>4</v>
      </c>
      <c r="B676" s="21">
        <v>45998</v>
      </c>
      <c r="C676" t="s">
        <v>303</v>
      </c>
      <c r="D676">
        <v>12</v>
      </c>
      <c r="E676" t="s">
        <v>253</v>
      </c>
      <c r="F676" s="21">
        <v>37350</v>
      </c>
      <c r="G676" s="22">
        <v>45718</v>
      </c>
      <c r="H676" t="s">
        <v>294</v>
      </c>
      <c r="I676" t="s">
        <v>9</v>
      </c>
      <c r="J676" t="s">
        <v>64</v>
      </c>
      <c r="L676" t="s">
        <v>203</v>
      </c>
    </row>
    <row r="677" spans="1:12" hidden="1" x14ac:dyDescent="0.2">
      <c r="A677">
        <v>4</v>
      </c>
      <c r="B677" s="21">
        <v>45998</v>
      </c>
      <c r="C677" t="s">
        <v>303</v>
      </c>
      <c r="D677">
        <v>12</v>
      </c>
      <c r="E677" t="s">
        <v>253</v>
      </c>
      <c r="F677" s="21">
        <v>37350</v>
      </c>
      <c r="G677" s="22">
        <v>45718</v>
      </c>
      <c r="H677" t="s">
        <v>290</v>
      </c>
      <c r="I677" t="s">
        <v>200</v>
      </c>
      <c r="J677" t="s">
        <v>71</v>
      </c>
      <c r="K677" t="s">
        <v>69</v>
      </c>
      <c r="L677" t="s">
        <v>204</v>
      </c>
    </row>
    <row r="678" spans="1:12" hidden="1" x14ac:dyDescent="0.2">
      <c r="A678">
        <v>4</v>
      </c>
      <c r="B678" s="21">
        <v>45998</v>
      </c>
      <c r="C678" t="s">
        <v>303</v>
      </c>
      <c r="D678">
        <v>12</v>
      </c>
      <c r="E678" t="s">
        <v>253</v>
      </c>
      <c r="F678" s="21">
        <v>37350</v>
      </c>
      <c r="G678" s="22">
        <v>45718</v>
      </c>
      <c r="H678" t="s">
        <v>290</v>
      </c>
      <c r="I678" t="s">
        <v>200</v>
      </c>
      <c r="J678" t="s">
        <v>71</v>
      </c>
      <c r="K678" t="s">
        <v>75</v>
      </c>
      <c r="L678" t="s">
        <v>204</v>
      </c>
    </row>
    <row r="679" spans="1:12" hidden="1" x14ac:dyDescent="0.2">
      <c r="A679">
        <v>4</v>
      </c>
      <c r="B679" s="21">
        <v>45998</v>
      </c>
      <c r="C679" t="s">
        <v>303</v>
      </c>
      <c r="D679">
        <v>12</v>
      </c>
      <c r="E679" t="s">
        <v>253</v>
      </c>
      <c r="F679" s="21">
        <v>37350</v>
      </c>
      <c r="G679" s="22">
        <v>45718</v>
      </c>
      <c r="H679" t="s">
        <v>293</v>
      </c>
      <c r="I679" t="s">
        <v>311</v>
      </c>
      <c r="J679" t="s">
        <v>71</v>
      </c>
      <c r="L679" t="s">
        <v>203</v>
      </c>
    </row>
    <row r="680" spans="1:12" hidden="1" x14ac:dyDescent="0.2">
      <c r="A680">
        <v>4</v>
      </c>
      <c r="B680" s="21">
        <v>45998</v>
      </c>
      <c r="C680" t="s">
        <v>303</v>
      </c>
      <c r="D680">
        <v>12</v>
      </c>
      <c r="E680" t="s">
        <v>253</v>
      </c>
      <c r="F680" s="21">
        <v>37350</v>
      </c>
      <c r="G680" s="22">
        <v>45718</v>
      </c>
      <c r="H680" t="s">
        <v>293</v>
      </c>
      <c r="I680" t="s">
        <v>40</v>
      </c>
      <c r="J680" t="s">
        <v>66</v>
      </c>
      <c r="L680" t="s">
        <v>203</v>
      </c>
    </row>
    <row r="681" spans="1:12" hidden="1" x14ac:dyDescent="0.2">
      <c r="A681">
        <v>4</v>
      </c>
      <c r="B681" s="21">
        <v>45998</v>
      </c>
      <c r="C681" t="s">
        <v>303</v>
      </c>
      <c r="D681">
        <v>12</v>
      </c>
      <c r="E681" t="s">
        <v>253</v>
      </c>
      <c r="F681" s="21">
        <v>37350</v>
      </c>
      <c r="G681" s="22">
        <v>45718</v>
      </c>
      <c r="H681" t="s">
        <v>278</v>
      </c>
      <c r="I681" t="s">
        <v>199</v>
      </c>
      <c r="J681" t="s">
        <v>71</v>
      </c>
      <c r="L681" t="s">
        <v>202</v>
      </c>
    </row>
    <row r="682" spans="1:12" hidden="1" x14ac:dyDescent="0.2">
      <c r="A682">
        <v>4</v>
      </c>
      <c r="B682" s="21">
        <v>45998</v>
      </c>
      <c r="C682" t="s">
        <v>303</v>
      </c>
      <c r="D682">
        <v>12</v>
      </c>
      <c r="E682" t="s">
        <v>253</v>
      </c>
      <c r="F682" s="21">
        <v>37350</v>
      </c>
      <c r="G682" s="22">
        <v>45718</v>
      </c>
      <c r="H682" t="s">
        <v>290</v>
      </c>
      <c r="I682" t="s">
        <v>200</v>
      </c>
      <c r="J682" t="s">
        <v>71</v>
      </c>
      <c r="L682" t="s">
        <v>204</v>
      </c>
    </row>
    <row r="683" spans="1:12" hidden="1" x14ac:dyDescent="0.2">
      <c r="A683">
        <v>4</v>
      </c>
      <c r="B683" s="21">
        <v>45998</v>
      </c>
      <c r="C683" t="s">
        <v>303</v>
      </c>
      <c r="D683">
        <v>12</v>
      </c>
      <c r="E683" t="s">
        <v>253</v>
      </c>
      <c r="F683" s="21">
        <v>37350</v>
      </c>
      <c r="G683" s="22">
        <v>45718</v>
      </c>
      <c r="H683" t="s">
        <v>306</v>
      </c>
      <c r="I683" t="s">
        <v>311</v>
      </c>
      <c r="J683" t="s">
        <v>64</v>
      </c>
      <c r="L683" t="s">
        <v>204</v>
      </c>
    </row>
    <row r="684" spans="1:12" hidden="1" x14ac:dyDescent="0.2">
      <c r="A684">
        <v>4</v>
      </c>
      <c r="B684" s="21">
        <v>45998</v>
      </c>
      <c r="C684" t="s">
        <v>303</v>
      </c>
      <c r="D684">
        <v>12</v>
      </c>
      <c r="E684" t="s">
        <v>253</v>
      </c>
      <c r="F684" s="21">
        <v>37350</v>
      </c>
      <c r="G684" s="22">
        <v>45718</v>
      </c>
      <c r="H684" t="s">
        <v>290</v>
      </c>
      <c r="I684" t="s">
        <v>200</v>
      </c>
      <c r="J684" t="s">
        <v>71</v>
      </c>
      <c r="L684" t="s">
        <v>204</v>
      </c>
    </row>
    <row r="685" spans="1:12" hidden="1" x14ac:dyDescent="0.2">
      <c r="A685">
        <v>4</v>
      </c>
      <c r="B685" s="21">
        <v>45998</v>
      </c>
      <c r="C685" t="s">
        <v>303</v>
      </c>
      <c r="D685">
        <v>12</v>
      </c>
      <c r="E685" t="s">
        <v>253</v>
      </c>
      <c r="F685" s="21">
        <v>37350</v>
      </c>
      <c r="G685" s="22">
        <v>45718</v>
      </c>
      <c r="H685" t="s">
        <v>278</v>
      </c>
      <c r="I685" t="s">
        <v>311</v>
      </c>
      <c r="J685" t="s">
        <v>71</v>
      </c>
      <c r="L685" t="s">
        <v>204</v>
      </c>
    </row>
    <row r="686" spans="1:12" hidden="1" x14ac:dyDescent="0.2">
      <c r="A686">
        <v>4</v>
      </c>
      <c r="B686" s="21">
        <v>45998</v>
      </c>
      <c r="C686" t="s">
        <v>303</v>
      </c>
      <c r="D686">
        <v>12</v>
      </c>
      <c r="E686" t="s">
        <v>253</v>
      </c>
      <c r="F686" s="21">
        <v>37350</v>
      </c>
      <c r="G686" s="22">
        <v>45718</v>
      </c>
      <c r="H686" t="s">
        <v>279</v>
      </c>
      <c r="I686" t="s">
        <v>14</v>
      </c>
      <c r="J686" t="s">
        <v>64</v>
      </c>
      <c r="L686" t="s">
        <v>204</v>
      </c>
    </row>
    <row r="687" spans="1:12" hidden="1" x14ac:dyDescent="0.2">
      <c r="A687">
        <v>4</v>
      </c>
      <c r="B687" s="21">
        <v>45998</v>
      </c>
      <c r="C687" t="s">
        <v>303</v>
      </c>
      <c r="D687">
        <v>12</v>
      </c>
      <c r="E687" t="s">
        <v>253</v>
      </c>
      <c r="F687" s="21">
        <v>37350</v>
      </c>
      <c r="G687" s="22">
        <v>45718</v>
      </c>
      <c r="H687" t="s">
        <v>286</v>
      </c>
      <c r="I687" t="s">
        <v>199</v>
      </c>
      <c r="J687" t="s">
        <v>71</v>
      </c>
      <c r="L687" t="s">
        <v>203</v>
      </c>
    </row>
    <row r="688" spans="1:12" hidden="1" x14ac:dyDescent="0.2">
      <c r="A688">
        <v>4</v>
      </c>
      <c r="B688" s="21">
        <v>45998</v>
      </c>
      <c r="C688" t="s">
        <v>303</v>
      </c>
      <c r="D688">
        <v>12</v>
      </c>
      <c r="E688" t="s">
        <v>253</v>
      </c>
      <c r="F688" s="21">
        <v>37350</v>
      </c>
      <c r="G688" s="22">
        <v>45718</v>
      </c>
      <c r="H688" t="s">
        <v>294</v>
      </c>
      <c r="I688" t="s">
        <v>9</v>
      </c>
      <c r="J688" t="s">
        <v>71</v>
      </c>
      <c r="L688" t="s">
        <v>203</v>
      </c>
    </row>
    <row r="689" spans="1:12" hidden="1" x14ac:dyDescent="0.2">
      <c r="A689">
        <v>4</v>
      </c>
      <c r="B689" s="21">
        <v>45998</v>
      </c>
      <c r="C689" t="s">
        <v>303</v>
      </c>
      <c r="D689">
        <v>12</v>
      </c>
      <c r="E689" t="s">
        <v>253</v>
      </c>
      <c r="F689" s="21">
        <v>37350</v>
      </c>
      <c r="G689" s="22">
        <v>45718</v>
      </c>
      <c r="H689" t="s">
        <v>290</v>
      </c>
      <c r="I689" t="s">
        <v>311</v>
      </c>
      <c r="J689" t="s">
        <v>71</v>
      </c>
      <c r="K689" t="s">
        <v>75</v>
      </c>
      <c r="L689" t="s">
        <v>204</v>
      </c>
    </row>
    <row r="690" spans="1:12" hidden="1" x14ac:dyDescent="0.2">
      <c r="A690">
        <v>4</v>
      </c>
      <c r="B690" s="21">
        <v>45998</v>
      </c>
      <c r="C690" t="s">
        <v>303</v>
      </c>
      <c r="D690">
        <v>12</v>
      </c>
      <c r="E690" t="s">
        <v>253</v>
      </c>
      <c r="F690" s="21">
        <v>37350</v>
      </c>
      <c r="G690" s="22">
        <v>45718</v>
      </c>
      <c r="H690" t="s">
        <v>286</v>
      </c>
      <c r="I690" t="s">
        <v>38</v>
      </c>
      <c r="J690" t="s">
        <v>71</v>
      </c>
      <c r="K690" t="s">
        <v>75</v>
      </c>
      <c r="L690" t="s">
        <v>204</v>
      </c>
    </row>
    <row r="691" spans="1:12" hidden="1" x14ac:dyDescent="0.2">
      <c r="A691">
        <v>4</v>
      </c>
      <c r="B691" s="21">
        <v>45998</v>
      </c>
      <c r="C691" t="s">
        <v>303</v>
      </c>
      <c r="D691">
        <v>12</v>
      </c>
      <c r="E691" t="s">
        <v>253</v>
      </c>
      <c r="F691" s="21">
        <v>37350</v>
      </c>
      <c r="G691" s="22">
        <v>45718</v>
      </c>
      <c r="H691" t="s">
        <v>286</v>
      </c>
      <c r="I691" t="s">
        <v>200</v>
      </c>
      <c r="J691" t="s">
        <v>71</v>
      </c>
      <c r="L691" t="s">
        <v>203</v>
      </c>
    </row>
    <row r="692" spans="1:12" hidden="1" x14ac:dyDescent="0.2">
      <c r="A692">
        <v>4</v>
      </c>
      <c r="B692" s="21">
        <v>45998</v>
      </c>
      <c r="C692" t="s">
        <v>303</v>
      </c>
      <c r="D692">
        <v>12</v>
      </c>
      <c r="E692" t="s">
        <v>253</v>
      </c>
      <c r="F692" s="21">
        <v>37350</v>
      </c>
      <c r="G692" s="22">
        <v>45718</v>
      </c>
      <c r="H692" t="s">
        <v>306</v>
      </c>
      <c r="I692" t="s">
        <v>200</v>
      </c>
      <c r="J692" t="s">
        <v>71</v>
      </c>
      <c r="L692" t="s">
        <v>203</v>
      </c>
    </row>
    <row r="693" spans="1:12" hidden="1" x14ac:dyDescent="0.2">
      <c r="A693">
        <v>4</v>
      </c>
      <c r="B693" s="21">
        <v>45998</v>
      </c>
      <c r="C693" t="s">
        <v>303</v>
      </c>
      <c r="D693">
        <v>12</v>
      </c>
      <c r="E693" t="s">
        <v>253</v>
      </c>
      <c r="F693" s="21">
        <v>37350</v>
      </c>
      <c r="G693" s="22">
        <v>45718</v>
      </c>
      <c r="H693" t="s">
        <v>286</v>
      </c>
      <c r="I693" t="s">
        <v>36</v>
      </c>
      <c r="J693" t="s">
        <v>64</v>
      </c>
      <c r="L693" t="s">
        <v>203</v>
      </c>
    </row>
    <row r="694" spans="1:12" hidden="1" x14ac:dyDescent="0.2">
      <c r="A694">
        <v>4</v>
      </c>
      <c r="B694" s="21">
        <v>45998</v>
      </c>
      <c r="C694" t="s">
        <v>303</v>
      </c>
      <c r="D694">
        <v>12</v>
      </c>
      <c r="E694" t="s">
        <v>253</v>
      </c>
      <c r="F694" s="21">
        <v>37350</v>
      </c>
      <c r="G694" s="22">
        <v>45718</v>
      </c>
      <c r="H694" t="s">
        <v>284</v>
      </c>
      <c r="I694" t="s">
        <v>36</v>
      </c>
      <c r="J694" t="s">
        <v>64</v>
      </c>
      <c r="L694" t="s">
        <v>204</v>
      </c>
    </row>
    <row r="695" spans="1:12" hidden="1" x14ac:dyDescent="0.2">
      <c r="A695">
        <v>4</v>
      </c>
      <c r="B695" s="21">
        <v>45998</v>
      </c>
      <c r="C695" t="s">
        <v>303</v>
      </c>
      <c r="D695">
        <v>12</v>
      </c>
      <c r="E695" t="s">
        <v>253</v>
      </c>
      <c r="F695" s="21">
        <v>37350</v>
      </c>
      <c r="G695" s="22">
        <v>45718</v>
      </c>
      <c r="H695" t="s">
        <v>290</v>
      </c>
      <c r="I695" t="s">
        <v>9</v>
      </c>
      <c r="J695" t="s">
        <v>66</v>
      </c>
      <c r="L695" t="s">
        <v>204</v>
      </c>
    </row>
    <row r="696" spans="1:12" hidden="1" x14ac:dyDescent="0.2">
      <c r="A696">
        <v>4</v>
      </c>
      <c r="B696" s="21">
        <v>45998</v>
      </c>
      <c r="C696" t="s">
        <v>303</v>
      </c>
      <c r="D696">
        <v>12</v>
      </c>
      <c r="E696" t="s">
        <v>253</v>
      </c>
      <c r="F696" s="21">
        <v>37350</v>
      </c>
      <c r="G696" s="22">
        <v>45718</v>
      </c>
      <c r="H696" t="s">
        <v>306</v>
      </c>
      <c r="I696" t="s">
        <v>200</v>
      </c>
      <c r="J696" t="s">
        <v>71</v>
      </c>
      <c r="L696" t="s">
        <v>204</v>
      </c>
    </row>
    <row r="697" spans="1:12" hidden="1" x14ac:dyDescent="0.2">
      <c r="A697">
        <v>4</v>
      </c>
      <c r="B697" s="21">
        <v>45998</v>
      </c>
      <c r="C697" t="s">
        <v>303</v>
      </c>
      <c r="D697">
        <v>12</v>
      </c>
      <c r="E697" t="s">
        <v>253</v>
      </c>
      <c r="F697" s="21">
        <v>37350</v>
      </c>
      <c r="G697" s="22">
        <v>45718</v>
      </c>
      <c r="H697" t="s">
        <v>290</v>
      </c>
      <c r="I697" t="s">
        <v>200</v>
      </c>
      <c r="J697" t="s">
        <v>71</v>
      </c>
      <c r="L697" t="s">
        <v>204</v>
      </c>
    </row>
    <row r="698" spans="1:12" hidden="1" x14ac:dyDescent="0.2">
      <c r="A698">
        <v>4</v>
      </c>
      <c r="B698" s="21">
        <v>45998</v>
      </c>
      <c r="C698" t="s">
        <v>303</v>
      </c>
      <c r="D698">
        <v>12</v>
      </c>
      <c r="E698" t="s">
        <v>253</v>
      </c>
      <c r="F698" s="21">
        <v>37350</v>
      </c>
      <c r="G698" s="22">
        <v>45718</v>
      </c>
      <c r="H698" t="s">
        <v>295</v>
      </c>
      <c r="I698" t="s">
        <v>200</v>
      </c>
      <c r="J698" t="s">
        <v>64</v>
      </c>
      <c r="L698" t="s">
        <v>203</v>
      </c>
    </row>
    <row r="699" spans="1:12" hidden="1" x14ac:dyDescent="0.2">
      <c r="A699">
        <v>4</v>
      </c>
      <c r="B699" s="21">
        <v>45998</v>
      </c>
      <c r="C699" t="s">
        <v>303</v>
      </c>
      <c r="D699">
        <v>12</v>
      </c>
      <c r="E699" t="s">
        <v>253</v>
      </c>
      <c r="F699" s="21">
        <v>37350</v>
      </c>
      <c r="G699" s="22">
        <v>45718</v>
      </c>
      <c r="H699" t="s">
        <v>306</v>
      </c>
      <c r="I699" t="s">
        <v>200</v>
      </c>
      <c r="J699" t="s">
        <v>71</v>
      </c>
      <c r="L699" t="s">
        <v>204</v>
      </c>
    </row>
    <row r="700" spans="1:12" hidden="1" x14ac:dyDescent="0.2">
      <c r="A700">
        <v>4</v>
      </c>
      <c r="B700" s="21">
        <v>45998</v>
      </c>
      <c r="C700" t="s">
        <v>303</v>
      </c>
      <c r="D700">
        <v>12</v>
      </c>
      <c r="E700" t="s">
        <v>253</v>
      </c>
      <c r="F700" s="21">
        <v>37350</v>
      </c>
      <c r="G700" s="22">
        <v>45718</v>
      </c>
      <c r="H700" t="s">
        <v>290</v>
      </c>
      <c r="I700" t="s">
        <v>200</v>
      </c>
      <c r="J700" t="s">
        <v>71</v>
      </c>
      <c r="L700" t="s">
        <v>204</v>
      </c>
    </row>
    <row r="701" spans="1:12" hidden="1" x14ac:dyDescent="0.2">
      <c r="A701">
        <v>4</v>
      </c>
      <c r="B701" s="21">
        <v>45998</v>
      </c>
      <c r="C701" t="s">
        <v>303</v>
      </c>
      <c r="D701">
        <v>12</v>
      </c>
      <c r="E701" t="s">
        <v>253</v>
      </c>
      <c r="F701" s="21">
        <v>37350</v>
      </c>
      <c r="G701" s="22">
        <v>45718</v>
      </c>
      <c r="H701" t="s">
        <v>287</v>
      </c>
      <c r="I701" t="s">
        <v>14</v>
      </c>
      <c r="J701" t="s">
        <v>80</v>
      </c>
      <c r="K701" t="s">
        <v>69</v>
      </c>
      <c r="L701" t="s">
        <v>204</v>
      </c>
    </row>
    <row r="702" spans="1:12" hidden="1" x14ac:dyDescent="0.2">
      <c r="A702">
        <v>4</v>
      </c>
      <c r="B702" s="21">
        <v>45998</v>
      </c>
      <c r="C702" t="s">
        <v>303</v>
      </c>
      <c r="D702">
        <v>12</v>
      </c>
      <c r="E702" t="s">
        <v>253</v>
      </c>
      <c r="F702" s="21">
        <v>37350</v>
      </c>
      <c r="G702" s="22">
        <v>45718</v>
      </c>
      <c r="H702" t="s">
        <v>290</v>
      </c>
      <c r="I702" t="s">
        <v>21</v>
      </c>
      <c r="J702" t="s">
        <v>66</v>
      </c>
      <c r="L702" t="s">
        <v>204</v>
      </c>
    </row>
    <row r="703" spans="1:12" hidden="1" x14ac:dyDescent="0.2">
      <c r="A703">
        <v>5</v>
      </c>
      <c r="B703" s="21">
        <v>45998</v>
      </c>
      <c r="C703" t="s">
        <v>318</v>
      </c>
      <c r="D703">
        <v>14</v>
      </c>
      <c r="E703" t="s">
        <v>323</v>
      </c>
      <c r="F703" s="21">
        <v>37350</v>
      </c>
      <c r="G703" s="24" t="s">
        <v>307</v>
      </c>
      <c r="H703" t="s">
        <v>283</v>
      </c>
      <c r="I703" t="s">
        <v>200</v>
      </c>
      <c r="J703" t="s">
        <v>71</v>
      </c>
      <c r="K703" t="s">
        <v>74</v>
      </c>
      <c r="L703" t="s">
        <v>203</v>
      </c>
    </row>
    <row r="704" spans="1:12" hidden="1" x14ac:dyDescent="0.2">
      <c r="A704">
        <v>5</v>
      </c>
      <c r="B704" s="21">
        <v>45998</v>
      </c>
      <c r="C704" t="s">
        <v>318</v>
      </c>
      <c r="D704">
        <v>14</v>
      </c>
      <c r="E704" t="s">
        <v>323</v>
      </c>
      <c r="F704" s="21">
        <v>37350</v>
      </c>
      <c r="G704" s="24" t="s">
        <v>307</v>
      </c>
      <c r="H704" t="s">
        <v>306</v>
      </c>
      <c r="I704" t="s">
        <v>200</v>
      </c>
      <c r="J704" t="s">
        <v>68</v>
      </c>
      <c r="K704" t="s">
        <v>75</v>
      </c>
      <c r="L704" t="s">
        <v>204</v>
      </c>
    </row>
    <row r="705" spans="1:12" hidden="1" x14ac:dyDescent="0.2">
      <c r="A705">
        <v>5</v>
      </c>
      <c r="B705" s="21">
        <v>45998</v>
      </c>
      <c r="C705" t="s">
        <v>318</v>
      </c>
      <c r="D705">
        <v>14</v>
      </c>
      <c r="E705" t="s">
        <v>323</v>
      </c>
      <c r="F705" s="21">
        <v>37350</v>
      </c>
      <c r="G705" s="24" t="s">
        <v>307</v>
      </c>
      <c r="H705" t="s">
        <v>294</v>
      </c>
      <c r="I705" t="s">
        <v>30</v>
      </c>
      <c r="J705" t="s">
        <v>71</v>
      </c>
      <c r="K705" t="s">
        <v>75</v>
      </c>
      <c r="L705" t="s">
        <v>204</v>
      </c>
    </row>
    <row r="706" spans="1:12" hidden="1" x14ac:dyDescent="0.2">
      <c r="A706">
        <v>5</v>
      </c>
      <c r="B706" s="21">
        <v>45998</v>
      </c>
      <c r="C706" t="s">
        <v>318</v>
      </c>
      <c r="D706">
        <v>14</v>
      </c>
      <c r="E706" t="s">
        <v>323</v>
      </c>
      <c r="F706" s="21">
        <v>37350</v>
      </c>
      <c r="G706" s="24" t="s">
        <v>307</v>
      </c>
      <c r="H706" t="s">
        <v>294</v>
      </c>
      <c r="I706" t="s">
        <v>6</v>
      </c>
      <c r="J706" t="s">
        <v>66</v>
      </c>
      <c r="K706" t="s">
        <v>79</v>
      </c>
      <c r="L706" t="s">
        <v>204</v>
      </c>
    </row>
    <row r="707" spans="1:12" hidden="1" x14ac:dyDescent="0.2">
      <c r="A707">
        <v>5</v>
      </c>
      <c r="B707" s="21">
        <v>45998</v>
      </c>
      <c r="C707" t="s">
        <v>318</v>
      </c>
      <c r="D707">
        <v>14</v>
      </c>
      <c r="E707" t="s">
        <v>323</v>
      </c>
      <c r="F707" s="21">
        <v>37350</v>
      </c>
      <c r="G707" s="24" t="s">
        <v>307</v>
      </c>
      <c r="H707" t="s">
        <v>296</v>
      </c>
      <c r="I707" t="s">
        <v>9</v>
      </c>
      <c r="J707" t="s">
        <v>71</v>
      </c>
      <c r="K707" t="s">
        <v>79</v>
      </c>
      <c r="L707" t="s">
        <v>204</v>
      </c>
    </row>
    <row r="708" spans="1:12" hidden="1" x14ac:dyDescent="0.2">
      <c r="A708">
        <v>5</v>
      </c>
      <c r="B708" s="21">
        <v>45998</v>
      </c>
      <c r="C708" t="s">
        <v>318</v>
      </c>
      <c r="D708">
        <v>14</v>
      </c>
      <c r="E708" t="s">
        <v>323</v>
      </c>
      <c r="F708" s="21">
        <v>37350</v>
      </c>
      <c r="G708" s="24" t="s">
        <v>307</v>
      </c>
      <c r="H708" t="s">
        <v>285</v>
      </c>
      <c r="I708" t="s">
        <v>12</v>
      </c>
      <c r="J708" t="s">
        <v>66</v>
      </c>
      <c r="K708" t="s">
        <v>75</v>
      </c>
      <c r="L708" t="s">
        <v>204</v>
      </c>
    </row>
    <row r="709" spans="1:12" hidden="1" x14ac:dyDescent="0.2">
      <c r="A709">
        <v>5</v>
      </c>
      <c r="B709" s="21">
        <v>45998</v>
      </c>
      <c r="C709" t="s">
        <v>318</v>
      </c>
      <c r="D709">
        <v>14</v>
      </c>
      <c r="E709" t="s">
        <v>323</v>
      </c>
      <c r="F709" s="21">
        <v>37350</v>
      </c>
      <c r="G709" s="24" t="s">
        <v>307</v>
      </c>
      <c r="H709" t="s">
        <v>285</v>
      </c>
      <c r="I709" t="s">
        <v>18</v>
      </c>
      <c r="J709" t="s">
        <v>66</v>
      </c>
      <c r="K709" t="s">
        <v>75</v>
      </c>
      <c r="L709" t="s">
        <v>204</v>
      </c>
    </row>
    <row r="710" spans="1:12" hidden="1" x14ac:dyDescent="0.2">
      <c r="A710">
        <v>5</v>
      </c>
      <c r="B710" s="21">
        <v>45998</v>
      </c>
      <c r="C710" t="s">
        <v>318</v>
      </c>
      <c r="D710">
        <v>14</v>
      </c>
      <c r="E710" t="s">
        <v>323</v>
      </c>
      <c r="F710" s="21">
        <v>37350</v>
      </c>
      <c r="G710" s="24" t="s">
        <v>307</v>
      </c>
      <c r="H710" t="s">
        <v>306</v>
      </c>
      <c r="I710" t="s">
        <v>14</v>
      </c>
      <c r="J710" t="s">
        <v>80</v>
      </c>
      <c r="K710" t="s">
        <v>69</v>
      </c>
      <c r="L710" t="s">
        <v>204</v>
      </c>
    </row>
    <row r="711" spans="1:12" hidden="1" x14ac:dyDescent="0.2">
      <c r="A711">
        <v>5</v>
      </c>
      <c r="B711" s="21">
        <v>45998</v>
      </c>
      <c r="C711" t="s">
        <v>318</v>
      </c>
      <c r="D711">
        <v>14</v>
      </c>
      <c r="E711" t="s">
        <v>323</v>
      </c>
      <c r="F711" s="21">
        <v>37350</v>
      </c>
      <c r="G711" s="24" t="s">
        <v>307</v>
      </c>
      <c r="H711" t="s">
        <v>292</v>
      </c>
      <c r="I711" t="s">
        <v>40</v>
      </c>
      <c r="J711" t="s">
        <v>66</v>
      </c>
      <c r="K711" t="s">
        <v>75</v>
      </c>
      <c r="L711" t="s">
        <v>204</v>
      </c>
    </row>
    <row r="712" spans="1:12" hidden="1" x14ac:dyDescent="0.2">
      <c r="A712">
        <v>5</v>
      </c>
      <c r="B712" s="21">
        <v>45998</v>
      </c>
      <c r="C712" t="s">
        <v>318</v>
      </c>
      <c r="D712">
        <v>14</v>
      </c>
      <c r="E712" t="s">
        <v>323</v>
      </c>
      <c r="F712" s="21">
        <v>37350</v>
      </c>
      <c r="G712" s="24" t="s">
        <v>307</v>
      </c>
      <c r="H712" t="s">
        <v>306</v>
      </c>
      <c r="I712" t="s">
        <v>21</v>
      </c>
      <c r="J712" t="s">
        <v>66</v>
      </c>
      <c r="K712" t="s">
        <v>69</v>
      </c>
      <c r="L712" t="s">
        <v>204</v>
      </c>
    </row>
    <row r="713" spans="1:12" hidden="1" x14ac:dyDescent="0.2">
      <c r="A713">
        <v>5</v>
      </c>
      <c r="B713" s="21">
        <v>45998</v>
      </c>
      <c r="C713" t="s">
        <v>318</v>
      </c>
      <c r="D713">
        <v>14</v>
      </c>
      <c r="E713" t="s">
        <v>323</v>
      </c>
      <c r="F713" s="21">
        <v>37350</v>
      </c>
      <c r="G713" s="24" t="s">
        <v>307</v>
      </c>
      <c r="H713" t="s">
        <v>306</v>
      </c>
      <c r="I713" t="s">
        <v>16</v>
      </c>
      <c r="J713" t="s">
        <v>66</v>
      </c>
      <c r="K713" t="s">
        <v>69</v>
      </c>
      <c r="L713" t="s">
        <v>204</v>
      </c>
    </row>
    <row r="714" spans="1:12" hidden="1" x14ac:dyDescent="0.2">
      <c r="A714">
        <v>5</v>
      </c>
      <c r="B714" s="21">
        <v>45998</v>
      </c>
      <c r="C714" t="s">
        <v>318</v>
      </c>
      <c r="D714">
        <v>14</v>
      </c>
      <c r="E714" t="s">
        <v>323</v>
      </c>
      <c r="F714" s="21">
        <v>37350</v>
      </c>
      <c r="G714" s="24" t="s">
        <v>307</v>
      </c>
      <c r="H714" t="s">
        <v>306</v>
      </c>
      <c r="I714" t="s">
        <v>200</v>
      </c>
      <c r="J714" t="s">
        <v>68</v>
      </c>
      <c r="K714" t="s">
        <v>75</v>
      </c>
      <c r="L714" t="s">
        <v>204</v>
      </c>
    </row>
    <row r="715" spans="1:12" hidden="1" x14ac:dyDescent="0.2">
      <c r="A715">
        <v>5</v>
      </c>
      <c r="B715" s="21">
        <v>45998</v>
      </c>
      <c r="C715" t="s">
        <v>318</v>
      </c>
      <c r="D715">
        <v>14</v>
      </c>
      <c r="E715" t="s">
        <v>323</v>
      </c>
      <c r="F715" s="21">
        <v>37350</v>
      </c>
      <c r="G715" s="24" t="s">
        <v>307</v>
      </c>
      <c r="H715" t="s">
        <v>285</v>
      </c>
      <c r="I715" t="s">
        <v>38</v>
      </c>
      <c r="J715" t="s">
        <v>66</v>
      </c>
      <c r="K715" t="s">
        <v>75</v>
      </c>
      <c r="L715" t="s">
        <v>204</v>
      </c>
    </row>
    <row r="716" spans="1:12" hidden="1" x14ac:dyDescent="0.2">
      <c r="A716">
        <v>5</v>
      </c>
      <c r="B716" s="21">
        <v>45998</v>
      </c>
      <c r="C716" t="s">
        <v>318</v>
      </c>
      <c r="D716">
        <v>14</v>
      </c>
      <c r="E716" t="s">
        <v>323</v>
      </c>
      <c r="F716" s="21">
        <v>37350</v>
      </c>
      <c r="G716" s="24" t="s">
        <v>307</v>
      </c>
      <c r="H716" t="s">
        <v>290</v>
      </c>
      <c r="I716" t="s">
        <v>200</v>
      </c>
      <c r="J716" t="s">
        <v>68</v>
      </c>
      <c r="K716" t="s">
        <v>74</v>
      </c>
      <c r="L716" t="s">
        <v>203</v>
      </c>
    </row>
    <row r="717" spans="1:12" hidden="1" x14ac:dyDescent="0.2">
      <c r="A717">
        <v>5</v>
      </c>
      <c r="B717" s="21">
        <v>45998</v>
      </c>
      <c r="C717" t="s">
        <v>318</v>
      </c>
      <c r="D717">
        <v>14</v>
      </c>
      <c r="E717" t="s">
        <v>323</v>
      </c>
      <c r="F717" s="21">
        <v>37350</v>
      </c>
      <c r="G717" s="24" t="s">
        <v>307</v>
      </c>
      <c r="H717" t="s">
        <v>278</v>
      </c>
      <c r="I717" t="s">
        <v>200</v>
      </c>
      <c r="J717" t="s">
        <v>71</v>
      </c>
      <c r="K717" t="s">
        <v>74</v>
      </c>
      <c r="L717" t="s">
        <v>203</v>
      </c>
    </row>
    <row r="718" spans="1:12" hidden="1" x14ac:dyDescent="0.2">
      <c r="A718">
        <v>5</v>
      </c>
      <c r="B718" s="21">
        <v>45998</v>
      </c>
      <c r="C718" t="s">
        <v>318</v>
      </c>
      <c r="D718">
        <v>14</v>
      </c>
      <c r="E718" t="s">
        <v>323</v>
      </c>
      <c r="F718" s="21">
        <v>37350</v>
      </c>
      <c r="G718" s="24" t="s">
        <v>307</v>
      </c>
      <c r="H718" t="s">
        <v>292</v>
      </c>
      <c r="I718" t="s">
        <v>311</v>
      </c>
      <c r="J718" t="s">
        <v>64</v>
      </c>
      <c r="K718" t="s">
        <v>74</v>
      </c>
      <c r="L718" t="s">
        <v>203</v>
      </c>
    </row>
    <row r="719" spans="1:12" hidden="1" x14ac:dyDescent="0.2">
      <c r="A719">
        <v>5</v>
      </c>
      <c r="B719" s="21">
        <v>45998</v>
      </c>
      <c r="C719" t="s">
        <v>318</v>
      </c>
      <c r="D719">
        <v>14</v>
      </c>
      <c r="E719" t="s">
        <v>323</v>
      </c>
      <c r="F719" s="21">
        <v>37350</v>
      </c>
      <c r="G719" s="24" t="s">
        <v>307</v>
      </c>
      <c r="H719" t="s">
        <v>278</v>
      </c>
      <c r="I719" t="s">
        <v>200</v>
      </c>
      <c r="J719" t="s">
        <v>68</v>
      </c>
      <c r="K719" t="s">
        <v>74</v>
      </c>
      <c r="L719" t="s">
        <v>203</v>
      </c>
    </row>
    <row r="720" spans="1:12" hidden="1" x14ac:dyDescent="0.2">
      <c r="A720">
        <v>5</v>
      </c>
      <c r="B720" s="21">
        <v>45998</v>
      </c>
      <c r="C720" t="s">
        <v>318</v>
      </c>
      <c r="D720">
        <v>14</v>
      </c>
      <c r="E720" t="s">
        <v>323</v>
      </c>
      <c r="F720" s="21">
        <v>37350</v>
      </c>
      <c r="G720" s="24" t="s">
        <v>307</v>
      </c>
      <c r="H720" t="s">
        <v>292</v>
      </c>
      <c r="I720" t="s">
        <v>200</v>
      </c>
      <c r="J720" t="s">
        <v>68</v>
      </c>
      <c r="K720" t="s">
        <v>73</v>
      </c>
      <c r="L720" t="s">
        <v>203</v>
      </c>
    </row>
    <row r="721" spans="1:12" hidden="1" x14ac:dyDescent="0.2">
      <c r="A721">
        <v>5</v>
      </c>
      <c r="B721" s="21">
        <v>45998</v>
      </c>
      <c r="C721" t="s">
        <v>318</v>
      </c>
      <c r="D721">
        <v>14</v>
      </c>
      <c r="E721" t="s">
        <v>323</v>
      </c>
      <c r="F721" s="21">
        <v>37350</v>
      </c>
      <c r="G721" s="24" t="s">
        <v>307</v>
      </c>
      <c r="H721" t="s">
        <v>293</v>
      </c>
      <c r="I721" t="s">
        <v>12</v>
      </c>
      <c r="J721" t="s">
        <v>64</v>
      </c>
      <c r="K721" t="s">
        <v>70</v>
      </c>
      <c r="L721" t="s">
        <v>204</v>
      </c>
    </row>
    <row r="722" spans="1:12" hidden="1" x14ac:dyDescent="0.2">
      <c r="A722">
        <v>5</v>
      </c>
      <c r="B722" s="21">
        <v>45998</v>
      </c>
      <c r="C722" t="s">
        <v>318</v>
      </c>
      <c r="D722">
        <v>14</v>
      </c>
      <c r="E722" t="s">
        <v>323</v>
      </c>
      <c r="F722" s="21">
        <v>37350</v>
      </c>
      <c r="G722" s="24" t="s">
        <v>307</v>
      </c>
      <c r="H722" t="s">
        <v>283</v>
      </c>
      <c r="I722" t="s">
        <v>6</v>
      </c>
      <c r="J722" t="s">
        <v>66</v>
      </c>
      <c r="K722" t="s">
        <v>67</v>
      </c>
      <c r="L722" t="s">
        <v>202</v>
      </c>
    </row>
    <row r="723" spans="1:12" hidden="1" x14ac:dyDescent="0.2">
      <c r="A723">
        <v>5</v>
      </c>
      <c r="B723" s="21">
        <v>45998</v>
      </c>
      <c r="C723" t="s">
        <v>318</v>
      </c>
      <c r="D723">
        <v>14</v>
      </c>
      <c r="E723" t="s">
        <v>323</v>
      </c>
      <c r="F723" s="21">
        <v>37350</v>
      </c>
      <c r="G723" s="24" t="s">
        <v>307</v>
      </c>
      <c r="H723" t="s">
        <v>283</v>
      </c>
      <c r="I723" t="s">
        <v>6</v>
      </c>
      <c r="J723" t="s">
        <v>66</v>
      </c>
      <c r="K723" t="s">
        <v>75</v>
      </c>
      <c r="L723" t="s">
        <v>204</v>
      </c>
    </row>
    <row r="724" spans="1:12" hidden="1" x14ac:dyDescent="0.2">
      <c r="A724">
        <v>5</v>
      </c>
      <c r="B724" s="21">
        <v>45998</v>
      </c>
      <c r="C724" t="s">
        <v>318</v>
      </c>
      <c r="D724">
        <v>14</v>
      </c>
      <c r="E724" t="s">
        <v>323</v>
      </c>
      <c r="F724" s="21">
        <v>37350</v>
      </c>
      <c r="G724" s="24" t="s">
        <v>307</v>
      </c>
      <c r="H724" t="s">
        <v>292</v>
      </c>
      <c r="I724" t="s">
        <v>205</v>
      </c>
      <c r="J724" t="s">
        <v>66</v>
      </c>
      <c r="K724" t="s">
        <v>73</v>
      </c>
      <c r="L724" t="s">
        <v>203</v>
      </c>
    </row>
    <row r="725" spans="1:12" hidden="1" x14ac:dyDescent="0.2">
      <c r="A725">
        <v>5</v>
      </c>
      <c r="B725" s="21">
        <v>45998</v>
      </c>
      <c r="C725" t="s">
        <v>318</v>
      </c>
      <c r="D725">
        <v>14</v>
      </c>
      <c r="E725" t="s">
        <v>323</v>
      </c>
      <c r="F725" s="21">
        <v>37350</v>
      </c>
      <c r="G725" s="24" t="s">
        <v>307</v>
      </c>
      <c r="H725" t="s">
        <v>278</v>
      </c>
      <c r="I725" t="s">
        <v>30</v>
      </c>
      <c r="J725" t="s">
        <v>71</v>
      </c>
      <c r="K725" t="s">
        <v>74</v>
      </c>
      <c r="L725" t="s">
        <v>203</v>
      </c>
    </row>
    <row r="726" spans="1:12" hidden="1" x14ac:dyDescent="0.2">
      <c r="A726">
        <v>5</v>
      </c>
      <c r="B726" s="21">
        <v>45998</v>
      </c>
      <c r="C726" t="s">
        <v>318</v>
      </c>
      <c r="D726">
        <v>14</v>
      </c>
      <c r="E726" t="s">
        <v>323</v>
      </c>
      <c r="F726" s="21">
        <v>37350</v>
      </c>
      <c r="G726" s="24" t="s">
        <v>307</v>
      </c>
      <c r="H726" t="s">
        <v>296</v>
      </c>
      <c r="I726" t="s">
        <v>9</v>
      </c>
      <c r="J726" t="s">
        <v>66</v>
      </c>
      <c r="K726" t="s">
        <v>75</v>
      </c>
      <c r="L726" t="s">
        <v>204</v>
      </c>
    </row>
    <row r="727" spans="1:12" hidden="1" x14ac:dyDescent="0.2">
      <c r="A727">
        <v>5</v>
      </c>
      <c r="B727" s="21">
        <v>45998</v>
      </c>
      <c r="C727" t="s">
        <v>318</v>
      </c>
      <c r="D727">
        <v>14</v>
      </c>
      <c r="E727" t="s">
        <v>323</v>
      </c>
      <c r="F727" s="21">
        <v>37350</v>
      </c>
      <c r="G727" s="24" t="s">
        <v>307</v>
      </c>
      <c r="H727" t="s">
        <v>285</v>
      </c>
      <c r="I727" t="s">
        <v>6</v>
      </c>
      <c r="J727" t="s">
        <v>66</v>
      </c>
      <c r="K727" t="s">
        <v>75</v>
      </c>
      <c r="L727" t="s">
        <v>204</v>
      </c>
    </row>
    <row r="728" spans="1:12" hidden="1" x14ac:dyDescent="0.2">
      <c r="A728">
        <v>5</v>
      </c>
      <c r="B728" s="21">
        <v>45998</v>
      </c>
      <c r="C728" t="s">
        <v>318</v>
      </c>
      <c r="D728">
        <v>14</v>
      </c>
      <c r="E728" t="s">
        <v>323</v>
      </c>
      <c r="F728" s="21">
        <v>37350</v>
      </c>
      <c r="G728" s="24" t="s">
        <v>307</v>
      </c>
      <c r="H728" t="s">
        <v>285</v>
      </c>
      <c r="I728" t="s">
        <v>199</v>
      </c>
      <c r="J728" t="s">
        <v>71</v>
      </c>
      <c r="K728" t="s">
        <v>75</v>
      </c>
      <c r="L728" t="s">
        <v>204</v>
      </c>
    </row>
    <row r="729" spans="1:12" hidden="1" x14ac:dyDescent="0.2">
      <c r="A729">
        <v>5</v>
      </c>
      <c r="B729" s="21">
        <v>45998</v>
      </c>
      <c r="C729" t="s">
        <v>318</v>
      </c>
      <c r="D729">
        <v>14</v>
      </c>
      <c r="E729" t="s">
        <v>323</v>
      </c>
      <c r="F729" s="21">
        <v>37350</v>
      </c>
      <c r="G729" s="24" t="s">
        <v>307</v>
      </c>
      <c r="H729" t="s">
        <v>294</v>
      </c>
      <c r="I729" t="s">
        <v>200</v>
      </c>
      <c r="J729" t="s">
        <v>71</v>
      </c>
      <c r="K729" t="s">
        <v>74</v>
      </c>
      <c r="L729" t="s">
        <v>203</v>
      </c>
    </row>
    <row r="730" spans="1:12" hidden="1" x14ac:dyDescent="0.2">
      <c r="A730">
        <v>5</v>
      </c>
      <c r="B730" s="21">
        <v>45998</v>
      </c>
      <c r="C730" t="s">
        <v>318</v>
      </c>
      <c r="D730">
        <v>14</v>
      </c>
      <c r="E730" t="s">
        <v>323</v>
      </c>
      <c r="F730" s="21">
        <v>37350</v>
      </c>
      <c r="G730" s="24" t="s">
        <v>307</v>
      </c>
      <c r="H730" t="s">
        <v>292</v>
      </c>
      <c r="I730" t="s">
        <v>30</v>
      </c>
      <c r="J730" t="s">
        <v>64</v>
      </c>
      <c r="K730" t="s">
        <v>74</v>
      </c>
      <c r="L730" t="s">
        <v>203</v>
      </c>
    </row>
    <row r="731" spans="1:12" hidden="1" x14ac:dyDescent="0.2">
      <c r="A731">
        <v>5</v>
      </c>
      <c r="B731" s="21">
        <v>45998</v>
      </c>
      <c r="C731" t="s">
        <v>318</v>
      </c>
      <c r="D731">
        <v>14</v>
      </c>
      <c r="E731" t="s">
        <v>323</v>
      </c>
      <c r="F731" s="21">
        <v>37350</v>
      </c>
      <c r="G731" s="24" t="s">
        <v>307</v>
      </c>
      <c r="H731" t="s">
        <v>292</v>
      </c>
      <c r="I731" t="s">
        <v>30</v>
      </c>
      <c r="J731" t="s">
        <v>64</v>
      </c>
      <c r="K731" t="s">
        <v>73</v>
      </c>
      <c r="L731" t="s">
        <v>203</v>
      </c>
    </row>
    <row r="732" spans="1:12" hidden="1" x14ac:dyDescent="0.2">
      <c r="A732">
        <v>5</v>
      </c>
      <c r="B732" s="21">
        <v>45998</v>
      </c>
      <c r="C732" t="s">
        <v>318</v>
      </c>
      <c r="D732">
        <v>14</v>
      </c>
      <c r="E732" t="s">
        <v>323</v>
      </c>
      <c r="F732" s="21">
        <v>37350</v>
      </c>
      <c r="G732" s="24" t="s">
        <v>307</v>
      </c>
      <c r="H732" t="s">
        <v>306</v>
      </c>
      <c r="I732" t="s">
        <v>200</v>
      </c>
      <c r="J732" t="s">
        <v>64</v>
      </c>
      <c r="K732" t="s">
        <v>67</v>
      </c>
      <c r="L732" t="s">
        <v>202</v>
      </c>
    </row>
    <row r="733" spans="1:12" hidden="1" x14ac:dyDescent="0.2">
      <c r="A733">
        <v>5</v>
      </c>
      <c r="B733" s="21">
        <v>45998</v>
      </c>
      <c r="C733" t="s">
        <v>318</v>
      </c>
      <c r="D733">
        <v>14</v>
      </c>
      <c r="E733" t="s">
        <v>323</v>
      </c>
      <c r="F733" s="21">
        <v>37350</v>
      </c>
      <c r="G733" s="24" t="s">
        <v>307</v>
      </c>
      <c r="H733" t="s">
        <v>294</v>
      </c>
      <c r="I733" t="s">
        <v>38</v>
      </c>
      <c r="J733" t="s">
        <v>66</v>
      </c>
      <c r="K733" t="s">
        <v>67</v>
      </c>
      <c r="L733" t="s">
        <v>202</v>
      </c>
    </row>
    <row r="734" spans="1:12" hidden="1" x14ac:dyDescent="0.2">
      <c r="A734">
        <v>5</v>
      </c>
      <c r="B734" s="21">
        <v>45998</v>
      </c>
      <c r="C734" t="s">
        <v>318</v>
      </c>
      <c r="D734">
        <v>14</v>
      </c>
      <c r="E734" t="s">
        <v>323</v>
      </c>
      <c r="F734" s="21">
        <v>37350</v>
      </c>
      <c r="G734" s="24" t="s">
        <v>307</v>
      </c>
      <c r="H734" t="s">
        <v>306</v>
      </c>
      <c r="I734" t="s">
        <v>200</v>
      </c>
      <c r="J734" t="s">
        <v>71</v>
      </c>
      <c r="K734" t="s">
        <v>75</v>
      </c>
      <c r="L734" t="s">
        <v>204</v>
      </c>
    </row>
    <row r="735" spans="1:12" hidden="1" x14ac:dyDescent="0.2">
      <c r="A735">
        <v>5</v>
      </c>
      <c r="B735" s="21">
        <v>45998</v>
      </c>
      <c r="C735" t="s">
        <v>318</v>
      </c>
      <c r="D735">
        <v>14</v>
      </c>
      <c r="E735" t="s">
        <v>323</v>
      </c>
      <c r="F735" s="21">
        <v>37350</v>
      </c>
      <c r="G735" s="24" t="s">
        <v>307</v>
      </c>
      <c r="H735" t="s">
        <v>283</v>
      </c>
      <c r="I735" t="s">
        <v>6</v>
      </c>
      <c r="J735" t="s">
        <v>66</v>
      </c>
      <c r="K735" t="s">
        <v>67</v>
      </c>
      <c r="L735" t="s">
        <v>202</v>
      </c>
    </row>
    <row r="736" spans="1:12" hidden="1" x14ac:dyDescent="0.2">
      <c r="A736">
        <v>5</v>
      </c>
      <c r="B736" s="21">
        <v>45998</v>
      </c>
      <c r="C736" t="s">
        <v>318</v>
      </c>
      <c r="D736">
        <v>14</v>
      </c>
      <c r="E736" t="s">
        <v>323</v>
      </c>
      <c r="F736" s="21">
        <v>37350</v>
      </c>
      <c r="G736" s="24" t="s">
        <v>307</v>
      </c>
      <c r="H736" t="s">
        <v>293</v>
      </c>
      <c r="I736" t="s">
        <v>9</v>
      </c>
      <c r="J736" t="s">
        <v>66</v>
      </c>
      <c r="K736" t="s">
        <v>74</v>
      </c>
      <c r="L736" t="s">
        <v>203</v>
      </c>
    </row>
    <row r="737" spans="1:13" hidden="1" x14ac:dyDescent="0.2">
      <c r="A737">
        <v>5</v>
      </c>
      <c r="B737" s="21">
        <v>45998</v>
      </c>
      <c r="C737" t="s">
        <v>318</v>
      </c>
      <c r="D737">
        <v>14</v>
      </c>
      <c r="E737" t="s">
        <v>323</v>
      </c>
      <c r="F737" s="21">
        <v>37350</v>
      </c>
      <c r="G737" s="24" t="s">
        <v>307</v>
      </c>
      <c r="H737" t="s">
        <v>306</v>
      </c>
      <c r="I737" t="s">
        <v>200</v>
      </c>
      <c r="J737" t="s">
        <v>68</v>
      </c>
      <c r="K737" t="s">
        <v>70</v>
      </c>
      <c r="L737" t="s">
        <v>204</v>
      </c>
    </row>
    <row r="738" spans="1:13" hidden="1" x14ac:dyDescent="0.2">
      <c r="A738">
        <v>5</v>
      </c>
      <c r="B738" s="21">
        <v>45998</v>
      </c>
      <c r="C738" t="s">
        <v>318</v>
      </c>
      <c r="D738">
        <v>14</v>
      </c>
      <c r="E738" t="s">
        <v>323</v>
      </c>
      <c r="F738" s="21">
        <v>37350</v>
      </c>
      <c r="G738" s="24" t="s">
        <v>307</v>
      </c>
      <c r="H738" t="s">
        <v>296</v>
      </c>
      <c r="I738" t="s">
        <v>36</v>
      </c>
      <c r="J738" t="s">
        <v>66</v>
      </c>
      <c r="K738" t="s">
        <v>73</v>
      </c>
      <c r="L738" t="s">
        <v>203</v>
      </c>
    </row>
    <row r="739" spans="1:13" hidden="1" x14ac:dyDescent="0.2">
      <c r="A739">
        <v>5</v>
      </c>
      <c r="B739" s="21">
        <v>45998</v>
      </c>
      <c r="C739" t="s">
        <v>318</v>
      </c>
      <c r="D739">
        <v>14</v>
      </c>
      <c r="E739" t="s">
        <v>323</v>
      </c>
      <c r="F739" s="21">
        <v>37350</v>
      </c>
      <c r="G739" s="24" t="s">
        <v>307</v>
      </c>
      <c r="H739" t="s">
        <v>294</v>
      </c>
      <c r="I739" t="s">
        <v>30</v>
      </c>
      <c r="J739" t="s">
        <v>71</v>
      </c>
      <c r="K739" t="s">
        <v>72</v>
      </c>
      <c r="L739" t="s">
        <v>202</v>
      </c>
    </row>
    <row r="740" spans="1:13" hidden="1" x14ac:dyDescent="0.2">
      <c r="A740">
        <v>5</v>
      </c>
      <c r="B740" s="21">
        <v>45998</v>
      </c>
      <c r="C740" t="s">
        <v>318</v>
      </c>
      <c r="D740">
        <v>14</v>
      </c>
      <c r="E740" t="s">
        <v>323</v>
      </c>
      <c r="F740" s="21">
        <v>37350</v>
      </c>
      <c r="G740" s="24" t="s">
        <v>307</v>
      </c>
      <c r="H740" t="s">
        <v>306</v>
      </c>
      <c r="I740" t="s">
        <v>200</v>
      </c>
      <c r="J740" t="s">
        <v>71</v>
      </c>
      <c r="K740" t="s">
        <v>79</v>
      </c>
      <c r="L740" t="s">
        <v>204</v>
      </c>
    </row>
    <row r="741" spans="1:13" hidden="1" x14ac:dyDescent="0.2">
      <c r="A741">
        <v>5</v>
      </c>
      <c r="B741" s="21">
        <v>45998</v>
      </c>
      <c r="C741" t="s">
        <v>318</v>
      </c>
      <c r="D741">
        <v>14</v>
      </c>
      <c r="E741" t="s">
        <v>323</v>
      </c>
      <c r="F741" s="21">
        <v>37350</v>
      </c>
      <c r="G741" s="24" t="s">
        <v>307</v>
      </c>
      <c r="H741" t="s">
        <v>292</v>
      </c>
      <c r="I741" t="s">
        <v>36</v>
      </c>
      <c r="J741" t="s">
        <v>66</v>
      </c>
      <c r="K741" t="s">
        <v>73</v>
      </c>
      <c r="L741" t="s">
        <v>203</v>
      </c>
    </row>
    <row r="742" spans="1:13" hidden="1" x14ac:dyDescent="0.2">
      <c r="A742">
        <v>5</v>
      </c>
      <c r="B742" s="21">
        <v>45998</v>
      </c>
      <c r="C742" t="s">
        <v>318</v>
      </c>
      <c r="D742">
        <v>14</v>
      </c>
      <c r="E742" t="s">
        <v>323</v>
      </c>
      <c r="F742" s="21">
        <v>37350</v>
      </c>
      <c r="G742" s="24" t="s">
        <v>307</v>
      </c>
      <c r="H742" t="s">
        <v>306</v>
      </c>
      <c r="I742" t="s">
        <v>200</v>
      </c>
      <c r="J742" t="s">
        <v>71</v>
      </c>
      <c r="K742" t="s">
        <v>75</v>
      </c>
      <c r="L742" t="s">
        <v>204</v>
      </c>
    </row>
    <row r="743" spans="1:13" hidden="1" x14ac:dyDescent="0.2">
      <c r="A743">
        <v>5</v>
      </c>
      <c r="B743" s="21">
        <v>45998</v>
      </c>
      <c r="C743" t="s">
        <v>318</v>
      </c>
      <c r="D743">
        <v>14</v>
      </c>
      <c r="E743" t="s">
        <v>323</v>
      </c>
      <c r="F743" s="21">
        <v>37350</v>
      </c>
      <c r="G743" s="24" t="s">
        <v>307</v>
      </c>
      <c r="H743" t="s">
        <v>292</v>
      </c>
      <c r="I743" t="s">
        <v>311</v>
      </c>
      <c r="J743" t="s">
        <v>64</v>
      </c>
      <c r="K743" t="s">
        <v>73</v>
      </c>
      <c r="L743" t="s">
        <v>203</v>
      </c>
    </row>
    <row r="744" spans="1:13" hidden="1" x14ac:dyDescent="0.2">
      <c r="A744">
        <v>5</v>
      </c>
      <c r="B744" s="21">
        <v>45998</v>
      </c>
      <c r="C744" t="s">
        <v>318</v>
      </c>
      <c r="D744">
        <v>14</v>
      </c>
      <c r="E744" t="s">
        <v>323</v>
      </c>
      <c r="F744" s="21">
        <v>37350</v>
      </c>
      <c r="G744" s="24" t="s">
        <v>307</v>
      </c>
      <c r="H744" t="s">
        <v>294</v>
      </c>
      <c r="I744" t="s">
        <v>200</v>
      </c>
      <c r="J744" t="s">
        <v>71</v>
      </c>
      <c r="K744" t="s">
        <v>73</v>
      </c>
      <c r="L744" t="s">
        <v>203</v>
      </c>
    </row>
    <row r="745" spans="1:13" hidden="1" x14ac:dyDescent="0.2">
      <c r="A745">
        <v>5</v>
      </c>
      <c r="B745" s="21">
        <v>45998</v>
      </c>
      <c r="C745" t="s">
        <v>318</v>
      </c>
      <c r="D745">
        <v>14</v>
      </c>
      <c r="E745" t="s">
        <v>323</v>
      </c>
      <c r="F745" s="21">
        <v>37350</v>
      </c>
      <c r="G745" s="24" t="s">
        <v>313</v>
      </c>
      <c r="H745" t="s">
        <v>294</v>
      </c>
      <c r="I745" t="s">
        <v>205</v>
      </c>
      <c r="J745" t="s">
        <v>66</v>
      </c>
      <c r="K745" t="s">
        <v>72</v>
      </c>
      <c r="L745" t="s">
        <v>202</v>
      </c>
    </row>
    <row r="746" spans="1:13" hidden="1" x14ac:dyDescent="0.2">
      <c r="A746">
        <v>5</v>
      </c>
      <c r="B746" s="21">
        <v>45998</v>
      </c>
      <c r="C746" t="s">
        <v>318</v>
      </c>
      <c r="D746">
        <v>14</v>
      </c>
      <c r="E746" t="s">
        <v>323</v>
      </c>
      <c r="F746" s="21">
        <v>37350</v>
      </c>
      <c r="G746" s="24" t="s">
        <v>313</v>
      </c>
      <c r="H746" t="s">
        <v>296</v>
      </c>
      <c r="I746" t="s">
        <v>12</v>
      </c>
      <c r="J746" t="s">
        <v>66</v>
      </c>
      <c r="K746" t="s">
        <v>72</v>
      </c>
      <c r="L746" t="s">
        <v>202</v>
      </c>
    </row>
    <row r="747" spans="1:13" hidden="1" x14ac:dyDescent="0.2">
      <c r="A747">
        <v>5</v>
      </c>
      <c r="B747" s="21">
        <v>45998</v>
      </c>
      <c r="C747" t="s">
        <v>318</v>
      </c>
      <c r="D747">
        <v>14</v>
      </c>
      <c r="E747" t="s">
        <v>323</v>
      </c>
      <c r="F747" s="21">
        <v>37350</v>
      </c>
      <c r="G747" s="24" t="s">
        <v>313</v>
      </c>
      <c r="H747" t="s">
        <v>294</v>
      </c>
      <c r="I747" t="s">
        <v>200</v>
      </c>
      <c r="J747" t="s">
        <v>71</v>
      </c>
      <c r="K747" t="s">
        <v>75</v>
      </c>
      <c r="L747" t="s">
        <v>204</v>
      </c>
    </row>
    <row r="748" spans="1:13" hidden="1" x14ac:dyDescent="0.2">
      <c r="A748">
        <v>5</v>
      </c>
      <c r="B748" s="21">
        <v>45998</v>
      </c>
      <c r="C748" t="s">
        <v>318</v>
      </c>
      <c r="D748">
        <v>14</v>
      </c>
      <c r="E748" t="s">
        <v>323</v>
      </c>
      <c r="F748" s="21">
        <v>37350</v>
      </c>
      <c r="G748" s="24" t="s">
        <v>313</v>
      </c>
      <c r="H748" t="s">
        <v>293</v>
      </c>
      <c r="I748" t="s">
        <v>205</v>
      </c>
      <c r="J748" t="s">
        <v>71</v>
      </c>
      <c r="K748" t="s">
        <v>75</v>
      </c>
      <c r="L748" t="s">
        <v>204</v>
      </c>
      <c r="M748" t="s">
        <v>320</v>
      </c>
    </row>
    <row r="749" spans="1:13" hidden="1" x14ac:dyDescent="0.2">
      <c r="A749">
        <v>5</v>
      </c>
      <c r="B749" s="21">
        <v>45998</v>
      </c>
      <c r="C749" t="s">
        <v>318</v>
      </c>
      <c r="D749">
        <v>14</v>
      </c>
      <c r="E749" t="s">
        <v>323</v>
      </c>
      <c r="F749" s="21">
        <v>37350</v>
      </c>
      <c r="G749" s="24" t="s">
        <v>313</v>
      </c>
      <c r="H749" t="s">
        <v>306</v>
      </c>
      <c r="I749" t="s">
        <v>311</v>
      </c>
      <c r="J749" t="s">
        <v>66</v>
      </c>
      <c r="K749" t="s">
        <v>75</v>
      </c>
      <c r="L749" t="s">
        <v>204</v>
      </c>
    </row>
    <row r="750" spans="1:13" hidden="1" x14ac:dyDescent="0.2">
      <c r="A750">
        <v>5</v>
      </c>
      <c r="B750" s="21">
        <v>45998</v>
      </c>
      <c r="C750" t="s">
        <v>318</v>
      </c>
      <c r="D750">
        <v>14</v>
      </c>
      <c r="E750" t="s">
        <v>323</v>
      </c>
      <c r="F750" s="21">
        <v>37350</v>
      </c>
      <c r="G750" s="24" t="s">
        <v>313</v>
      </c>
      <c r="H750" t="s">
        <v>293</v>
      </c>
      <c r="I750" t="s">
        <v>261</v>
      </c>
      <c r="J750" t="s">
        <v>64</v>
      </c>
      <c r="K750" t="s">
        <v>70</v>
      </c>
      <c r="L750" t="s">
        <v>204</v>
      </c>
    </row>
    <row r="751" spans="1:13" hidden="1" x14ac:dyDescent="0.2">
      <c r="A751">
        <v>5</v>
      </c>
      <c r="B751" s="21">
        <v>45998</v>
      </c>
      <c r="C751" t="s">
        <v>318</v>
      </c>
      <c r="D751">
        <v>14</v>
      </c>
      <c r="E751" t="s">
        <v>323</v>
      </c>
      <c r="F751" s="21">
        <v>37350</v>
      </c>
      <c r="G751" s="24" t="s">
        <v>313</v>
      </c>
      <c r="H751" t="s">
        <v>278</v>
      </c>
      <c r="I751" t="s">
        <v>200</v>
      </c>
      <c r="J751" t="s">
        <v>66</v>
      </c>
      <c r="K751" t="s">
        <v>74</v>
      </c>
      <c r="L751" t="s">
        <v>203</v>
      </c>
    </row>
    <row r="752" spans="1:13" hidden="1" x14ac:dyDescent="0.2">
      <c r="A752">
        <v>5</v>
      </c>
      <c r="B752" s="21">
        <v>45998</v>
      </c>
      <c r="C752" t="s">
        <v>318</v>
      </c>
      <c r="D752">
        <v>14</v>
      </c>
      <c r="E752" t="s">
        <v>323</v>
      </c>
      <c r="F752" s="21">
        <v>37350</v>
      </c>
      <c r="G752" s="24" t="s">
        <v>313</v>
      </c>
      <c r="H752" t="s">
        <v>294</v>
      </c>
      <c r="I752" t="s">
        <v>200</v>
      </c>
      <c r="J752" t="s">
        <v>66</v>
      </c>
      <c r="K752" t="s">
        <v>74</v>
      </c>
      <c r="L752" t="s">
        <v>203</v>
      </c>
    </row>
    <row r="753" spans="1:12" hidden="1" x14ac:dyDescent="0.2">
      <c r="A753">
        <v>5</v>
      </c>
      <c r="B753" s="21">
        <v>45998</v>
      </c>
      <c r="C753" t="s">
        <v>318</v>
      </c>
      <c r="D753">
        <v>14</v>
      </c>
      <c r="E753" t="s">
        <v>323</v>
      </c>
      <c r="F753" s="21">
        <v>37350</v>
      </c>
      <c r="G753" s="24" t="s">
        <v>313</v>
      </c>
      <c r="H753" t="s">
        <v>294</v>
      </c>
      <c r="I753" t="s">
        <v>205</v>
      </c>
      <c r="J753" t="s">
        <v>66</v>
      </c>
      <c r="K753" t="s">
        <v>74</v>
      </c>
      <c r="L753" t="s">
        <v>203</v>
      </c>
    </row>
    <row r="754" spans="1:12" hidden="1" x14ac:dyDescent="0.2">
      <c r="A754">
        <v>5</v>
      </c>
      <c r="B754" s="21">
        <v>45998</v>
      </c>
      <c r="C754" t="s">
        <v>318</v>
      </c>
      <c r="D754">
        <v>14</v>
      </c>
      <c r="E754" t="s">
        <v>323</v>
      </c>
      <c r="F754" s="21">
        <v>37350</v>
      </c>
      <c r="G754" s="24" t="s">
        <v>313</v>
      </c>
      <c r="H754" t="s">
        <v>306</v>
      </c>
      <c r="I754" t="s">
        <v>14</v>
      </c>
      <c r="J754" t="s">
        <v>66</v>
      </c>
      <c r="K754" t="s">
        <v>75</v>
      </c>
      <c r="L754" t="s">
        <v>204</v>
      </c>
    </row>
    <row r="755" spans="1:12" hidden="1" x14ac:dyDescent="0.2">
      <c r="A755">
        <v>5</v>
      </c>
      <c r="B755" s="21">
        <v>45998</v>
      </c>
      <c r="C755" t="s">
        <v>318</v>
      </c>
      <c r="D755">
        <v>14</v>
      </c>
      <c r="E755" t="s">
        <v>323</v>
      </c>
      <c r="F755" s="21">
        <v>37350</v>
      </c>
      <c r="G755" s="24" t="s">
        <v>313</v>
      </c>
      <c r="H755" t="s">
        <v>294</v>
      </c>
      <c r="I755" t="s">
        <v>200</v>
      </c>
      <c r="J755" t="s">
        <v>71</v>
      </c>
      <c r="K755" t="s">
        <v>74</v>
      </c>
      <c r="L755" t="s">
        <v>203</v>
      </c>
    </row>
    <row r="756" spans="1:12" hidden="1" x14ac:dyDescent="0.2">
      <c r="A756">
        <v>5</v>
      </c>
      <c r="B756" s="21">
        <v>45998</v>
      </c>
      <c r="C756" t="s">
        <v>318</v>
      </c>
      <c r="D756">
        <v>14</v>
      </c>
      <c r="E756" t="s">
        <v>323</v>
      </c>
      <c r="F756" s="21">
        <v>37350</v>
      </c>
      <c r="G756" s="24" t="s">
        <v>313</v>
      </c>
      <c r="H756" t="s">
        <v>306</v>
      </c>
      <c r="I756" t="s">
        <v>311</v>
      </c>
      <c r="J756" t="s">
        <v>71</v>
      </c>
      <c r="K756" t="s">
        <v>73</v>
      </c>
      <c r="L756" t="s">
        <v>203</v>
      </c>
    </row>
    <row r="757" spans="1:12" hidden="1" x14ac:dyDescent="0.2">
      <c r="A757">
        <v>5</v>
      </c>
      <c r="B757" s="21">
        <v>45998</v>
      </c>
      <c r="C757" t="s">
        <v>318</v>
      </c>
      <c r="D757">
        <v>14</v>
      </c>
      <c r="E757" t="s">
        <v>323</v>
      </c>
      <c r="F757" s="21">
        <v>37350</v>
      </c>
      <c r="G757" s="24" t="s">
        <v>313</v>
      </c>
      <c r="H757" t="s">
        <v>293</v>
      </c>
      <c r="I757" t="s">
        <v>205</v>
      </c>
      <c r="J757" t="s">
        <v>66</v>
      </c>
      <c r="K757" t="s">
        <v>79</v>
      </c>
      <c r="L757" t="s">
        <v>204</v>
      </c>
    </row>
    <row r="758" spans="1:12" hidden="1" x14ac:dyDescent="0.2">
      <c r="A758">
        <v>5</v>
      </c>
      <c r="B758" s="21">
        <v>45998</v>
      </c>
      <c r="C758" t="s">
        <v>318</v>
      </c>
      <c r="D758">
        <v>14</v>
      </c>
      <c r="E758" t="s">
        <v>323</v>
      </c>
      <c r="F758" s="21">
        <v>37350</v>
      </c>
      <c r="G758" s="24" t="s">
        <v>313</v>
      </c>
      <c r="H758" t="s">
        <v>294</v>
      </c>
      <c r="I758" t="s">
        <v>200</v>
      </c>
      <c r="J758" t="s">
        <v>71</v>
      </c>
      <c r="K758" t="s">
        <v>74</v>
      </c>
      <c r="L758" t="s">
        <v>203</v>
      </c>
    </row>
    <row r="759" spans="1:12" hidden="1" x14ac:dyDescent="0.2">
      <c r="A759">
        <v>5</v>
      </c>
      <c r="B759" s="21">
        <v>45998</v>
      </c>
      <c r="C759" t="s">
        <v>318</v>
      </c>
      <c r="D759">
        <v>14</v>
      </c>
      <c r="E759" t="s">
        <v>323</v>
      </c>
      <c r="F759" s="21">
        <v>37350</v>
      </c>
      <c r="G759" s="24" t="s">
        <v>313</v>
      </c>
      <c r="H759" t="s">
        <v>285</v>
      </c>
      <c r="I759" t="s">
        <v>6</v>
      </c>
      <c r="J759" t="s">
        <v>66</v>
      </c>
      <c r="K759" t="s">
        <v>79</v>
      </c>
      <c r="L759" t="s">
        <v>204</v>
      </c>
    </row>
    <row r="760" spans="1:12" hidden="1" x14ac:dyDescent="0.2">
      <c r="A760">
        <v>5</v>
      </c>
      <c r="B760" s="21">
        <v>45998</v>
      </c>
      <c r="C760" t="s">
        <v>318</v>
      </c>
      <c r="D760">
        <v>14</v>
      </c>
      <c r="E760" t="s">
        <v>323</v>
      </c>
      <c r="F760" s="21">
        <v>37350</v>
      </c>
      <c r="G760" s="24" t="s">
        <v>313</v>
      </c>
      <c r="H760" t="s">
        <v>290</v>
      </c>
      <c r="I760" t="s">
        <v>76</v>
      </c>
      <c r="J760" t="s">
        <v>66</v>
      </c>
      <c r="K760" t="s">
        <v>74</v>
      </c>
      <c r="L760" t="s">
        <v>203</v>
      </c>
    </row>
    <row r="761" spans="1:12" hidden="1" x14ac:dyDescent="0.2">
      <c r="A761">
        <v>5</v>
      </c>
      <c r="B761" s="21">
        <v>45998</v>
      </c>
      <c r="C761" t="s">
        <v>318</v>
      </c>
      <c r="D761">
        <v>14</v>
      </c>
      <c r="E761" t="s">
        <v>323</v>
      </c>
      <c r="F761" s="21">
        <v>37350</v>
      </c>
      <c r="G761" s="24" t="s">
        <v>313</v>
      </c>
      <c r="H761" t="s">
        <v>304</v>
      </c>
      <c r="I761" t="s">
        <v>36</v>
      </c>
      <c r="K761" t="s">
        <v>65</v>
      </c>
      <c r="L761" t="s">
        <v>202</v>
      </c>
    </row>
    <row r="762" spans="1:12" hidden="1" x14ac:dyDescent="0.2">
      <c r="A762">
        <v>5</v>
      </c>
      <c r="B762" s="21">
        <v>45998</v>
      </c>
      <c r="C762" t="s">
        <v>318</v>
      </c>
      <c r="D762">
        <v>14</v>
      </c>
      <c r="E762" t="s">
        <v>323</v>
      </c>
      <c r="F762" s="21">
        <v>37350</v>
      </c>
      <c r="G762" s="24" t="s">
        <v>313</v>
      </c>
      <c r="H762" t="s">
        <v>294</v>
      </c>
      <c r="I762" t="s">
        <v>30</v>
      </c>
      <c r="J762" t="s">
        <v>71</v>
      </c>
      <c r="K762" t="s">
        <v>74</v>
      </c>
      <c r="L762" t="s">
        <v>203</v>
      </c>
    </row>
    <row r="763" spans="1:12" hidden="1" x14ac:dyDescent="0.2">
      <c r="A763">
        <v>5</v>
      </c>
      <c r="B763" s="21">
        <v>45998</v>
      </c>
      <c r="C763" t="s">
        <v>318</v>
      </c>
      <c r="D763">
        <v>14</v>
      </c>
      <c r="E763" t="s">
        <v>323</v>
      </c>
      <c r="F763" s="21">
        <v>37350</v>
      </c>
      <c r="G763" s="24" t="s">
        <v>313</v>
      </c>
      <c r="H763" t="s">
        <v>296</v>
      </c>
      <c r="I763" t="s">
        <v>6</v>
      </c>
      <c r="J763" t="s">
        <v>64</v>
      </c>
      <c r="K763" t="s">
        <v>72</v>
      </c>
      <c r="L763" t="s">
        <v>202</v>
      </c>
    </row>
    <row r="764" spans="1:12" hidden="1" x14ac:dyDescent="0.2">
      <c r="A764">
        <v>5</v>
      </c>
      <c r="B764" s="21">
        <v>45998</v>
      </c>
      <c r="C764" t="s">
        <v>318</v>
      </c>
      <c r="D764">
        <v>14</v>
      </c>
      <c r="E764" t="s">
        <v>323</v>
      </c>
      <c r="F764" s="21">
        <v>37350</v>
      </c>
      <c r="G764" s="24" t="s">
        <v>313</v>
      </c>
      <c r="H764" t="s">
        <v>294</v>
      </c>
      <c r="I764" t="s">
        <v>38</v>
      </c>
      <c r="J764" t="s">
        <v>66</v>
      </c>
      <c r="K764" t="s">
        <v>73</v>
      </c>
      <c r="L764" t="s">
        <v>203</v>
      </c>
    </row>
    <row r="765" spans="1:12" hidden="1" x14ac:dyDescent="0.2">
      <c r="A765">
        <v>5</v>
      </c>
      <c r="B765" s="21">
        <v>45998</v>
      </c>
      <c r="C765" t="s">
        <v>318</v>
      </c>
      <c r="D765">
        <v>14</v>
      </c>
      <c r="E765" t="s">
        <v>323</v>
      </c>
      <c r="F765" s="21">
        <v>37350</v>
      </c>
      <c r="G765" s="24" t="s">
        <v>313</v>
      </c>
      <c r="H765" t="s">
        <v>293</v>
      </c>
      <c r="I765" t="s">
        <v>30</v>
      </c>
      <c r="J765" t="s">
        <v>66</v>
      </c>
      <c r="K765" t="s">
        <v>74</v>
      </c>
      <c r="L765" t="s">
        <v>203</v>
      </c>
    </row>
    <row r="766" spans="1:12" hidden="1" x14ac:dyDescent="0.2">
      <c r="A766">
        <v>5</v>
      </c>
      <c r="B766" s="21">
        <v>45998</v>
      </c>
      <c r="C766" t="s">
        <v>318</v>
      </c>
      <c r="D766">
        <v>14</v>
      </c>
      <c r="E766" t="s">
        <v>323</v>
      </c>
      <c r="F766" s="21">
        <v>37350</v>
      </c>
      <c r="G766" s="24" t="s">
        <v>313</v>
      </c>
      <c r="H766" t="s">
        <v>292</v>
      </c>
      <c r="I766" t="s">
        <v>200</v>
      </c>
      <c r="J766" t="s">
        <v>68</v>
      </c>
      <c r="K766" t="s">
        <v>65</v>
      </c>
      <c r="L766" t="s">
        <v>202</v>
      </c>
    </row>
    <row r="767" spans="1:12" hidden="1" x14ac:dyDescent="0.2">
      <c r="A767">
        <v>5</v>
      </c>
      <c r="B767" s="21">
        <v>45998</v>
      </c>
      <c r="C767" t="s">
        <v>318</v>
      </c>
      <c r="D767">
        <v>14</v>
      </c>
      <c r="E767" t="s">
        <v>323</v>
      </c>
      <c r="F767" s="21">
        <v>37350</v>
      </c>
      <c r="G767" s="24" t="s">
        <v>313</v>
      </c>
      <c r="H767" t="s">
        <v>290</v>
      </c>
      <c r="I767" t="s">
        <v>6</v>
      </c>
      <c r="J767" t="s">
        <v>66</v>
      </c>
      <c r="K767" t="s">
        <v>74</v>
      </c>
      <c r="L767" t="s">
        <v>203</v>
      </c>
    </row>
    <row r="768" spans="1:12" hidden="1" x14ac:dyDescent="0.2">
      <c r="A768">
        <v>5</v>
      </c>
      <c r="B768" s="21">
        <v>45998</v>
      </c>
      <c r="C768" t="s">
        <v>318</v>
      </c>
      <c r="D768">
        <v>14</v>
      </c>
      <c r="E768" t="s">
        <v>323</v>
      </c>
      <c r="F768" s="21">
        <v>37350</v>
      </c>
      <c r="G768" s="24" t="s">
        <v>313</v>
      </c>
      <c r="H768" t="s">
        <v>283</v>
      </c>
      <c r="I768" t="s">
        <v>30</v>
      </c>
      <c r="J768" t="s">
        <v>71</v>
      </c>
      <c r="K768" t="s">
        <v>67</v>
      </c>
      <c r="L768" t="s">
        <v>202</v>
      </c>
    </row>
    <row r="769" spans="1:12" hidden="1" x14ac:dyDescent="0.2">
      <c r="A769">
        <v>5</v>
      </c>
      <c r="B769" s="21">
        <v>45998</v>
      </c>
      <c r="C769" t="s">
        <v>318</v>
      </c>
      <c r="D769">
        <v>14</v>
      </c>
      <c r="E769" t="s">
        <v>323</v>
      </c>
      <c r="F769" s="21">
        <v>37350</v>
      </c>
      <c r="G769" s="24" t="s">
        <v>313</v>
      </c>
      <c r="H769" t="s">
        <v>294</v>
      </c>
      <c r="I769" t="s">
        <v>200</v>
      </c>
      <c r="J769" t="s">
        <v>71</v>
      </c>
      <c r="K769" t="s">
        <v>73</v>
      </c>
      <c r="L769" t="s">
        <v>203</v>
      </c>
    </row>
    <row r="770" spans="1:12" hidden="1" x14ac:dyDescent="0.2">
      <c r="A770">
        <v>5</v>
      </c>
      <c r="B770" s="21">
        <v>45998</v>
      </c>
      <c r="C770" t="s">
        <v>318</v>
      </c>
      <c r="D770">
        <v>14</v>
      </c>
      <c r="E770" t="s">
        <v>323</v>
      </c>
      <c r="F770" s="21">
        <v>37350</v>
      </c>
      <c r="G770" s="24" t="s">
        <v>313</v>
      </c>
      <c r="H770" t="s">
        <v>292</v>
      </c>
      <c r="I770" t="s">
        <v>40</v>
      </c>
      <c r="J770" t="s">
        <v>66</v>
      </c>
      <c r="K770" t="s">
        <v>73</v>
      </c>
      <c r="L770" t="s">
        <v>203</v>
      </c>
    </row>
    <row r="771" spans="1:12" hidden="1" x14ac:dyDescent="0.2">
      <c r="A771">
        <v>5</v>
      </c>
      <c r="B771" s="21">
        <v>45998</v>
      </c>
      <c r="C771" t="s">
        <v>318</v>
      </c>
      <c r="D771">
        <v>14</v>
      </c>
      <c r="E771" t="s">
        <v>323</v>
      </c>
      <c r="F771" s="21">
        <v>37350</v>
      </c>
      <c r="G771" s="24" t="s">
        <v>313</v>
      </c>
      <c r="H771" t="s">
        <v>294</v>
      </c>
      <c r="I771" t="s">
        <v>205</v>
      </c>
      <c r="J771" t="s">
        <v>66</v>
      </c>
      <c r="K771" t="s">
        <v>73</v>
      </c>
      <c r="L771" t="s">
        <v>203</v>
      </c>
    </row>
    <row r="772" spans="1:12" hidden="1" x14ac:dyDescent="0.2">
      <c r="A772">
        <v>5</v>
      </c>
      <c r="B772" s="21">
        <v>45998</v>
      </c>
      <c r="C772" t="s">
        <v>318</v>
      </c>
      <c r="D772">
        <v>14</v>
      </c>
      <c r="E772" t="s">
        <v>323</v>
      </c>
      <c r="F772" s="21">
        <v>37350</v>
      </c>
      <c r="G772" s="24" t="s">
        <v>313</v>
      </c>
      <c r="H772" t="s">
        <v>296</v>
      </c>
      <c r="I772" t="s">
        <v>76</v>
      </c>
      <c r="K772" t="s">
        <v>79</v>
      </c>
      <c r="L772" t="s">
        <v>204</v>
      </c>
    </row>
    <row r="773" spans="1:12" hidden="1" x14ac:dyDescent="0.2">
      <c r="A773">
        <v>5</v>
      </c>
      <c r="B773" s="21">
        <v>45998</v>
      </c>
      <c r="C773" t="s">
        <v>318</v>
      </c>
      <c r="D773">
        <v>14</v>
      </c>
      <c r="E773" t="s">
        <v>323</v>
      </c>
      <c r="F773" s="21">
        <v>37350</v>
      </c>
      <c r="G773" s="24" t="s">
        <v>313</v>
      </c>
      <c r="H773" t="s">
        <v>292</v>
      </c>
      <c r="I773" t="s">
        <v>32</v>
      </c>
      <c r="J773" t="s">
        <v>64</v>
      </c>
      <c r="K773" t="s">
        <v>74</v>
      </c>
      <c r="L773" t="s">
        <v>203</v>
      </c>
    </row>
    <row r="774" spans="1:12" hidden="1" x14ac:dyDescent="0.2">
      <c r="A774">
        <v>5</v>
      </c>
      <c r="B774" s="21">
        <v>45998</v>
      </c>
      <c r="C774" t="s">
        <v>318</v>
      </c>
      <c r="D774">
        <v>14</v>
      </c>
      <c r="E774" t="s">
        <v>323</v>
      </c>
      <c r="F774" s="21">
        <v>37350</v>
      </c>
      <c r="G774" s="24" t="s">
        <v>313</v>
      </c>
      <c r="H774" t="s">
        <v>283</v>
      </c>
      <c r="I774" t="s">
        <v>32</v>
      </c>
      <c r="J774" t="s">
        <v>64</v>
      </c>
      <c r="K774" t="s">
        <v>74</v>
      </c>
      <c r="L774" t="s">
        <v>203</v>
      </c>
    </row>
    <row r="775" spans="1:12" hidden="1" x14ac:dyDescent="0.2">
      <c r="A775">
        <v>5</v>
      </c>
      <c r="B775" s="21">
        <v>45998</v>
      </c>
      <c r="C775" t="s">
        <v>318</v>
      </c>
      <c r="D775">
        <v>14</v>
      </c>
      <c r="E775" t="s">
        <v>323</v>
      </c>
      <c r="F775" s="21">
        <v>37350</v>
      </c>
      <c r="G775" s="24" t="s">
        <v>313</v>
      </c>
      <c r="H775" t="s">
        <v>294</v>
      </c>
      <c r="I775" t="s">
        <v>200</v>
      </c>
      <c r="J775" t="s">
        <v>71</v>
      </c>
      <c r="K775" t="s">
        <v>74</v>
      </c>
      <c r="L775" t="s">
        <v>203</v>
      </c>
    </row>
    <row r="776" spans="1:12" hidden="1" x14ac:dyDescent="0.2">
      <c r="A776">
        <v>5</v>
      </c>
      <c r="B776" s="21">
        <v>45998</v>
      </c>
      <c r="C776" t="s">
        <v>318</v>
      </c>
      <c r="D776">
        <v>14</v>
      </c>
      <c r="E776" t="s">
        <v>323</v>
      </c>
      <c r="F776" s="21">
        <v>37350</v>
      </c>
      <c r="G776" s="24" t="s">
        <v>313</v>
      </c>
      <c r="H776" t="s">
        <v>294</v>
      </c>
      <c r="I776" t="s">
        <v>18</v>
      </c>
      <c r="J776" t="s">
        <v>66</v>
      </c>
      <c r="K776" t="s">
        <v>75</v>
      </c>
      <c r="L776" t="s">
        <v>204</v>
      </c>
    </row>
    <row r="777" spans="1:12" hidden="1" x14ac:dyDescent="0.2">
      <c r="A777">
        <v>5</v>
      </c>
      <c r="B777" s="21">
        <v>45998</v>
      </c>
      <c r="C777" t="s">
        <v>318</v>
      </c>
      <c r="D777">
        <v>14</v>
      </c>
      <c r="E777" t="s">
        <v>323</v>
      </c>
      <c r="F777" s="21">
        <v>37350</v>
      </c>
      <c r="G777" s="24" t="s">
        <v>313</v>
      </c>
      <c r="H777" t="s">
        <v>285</v>
      </c>
      <c r="I777" t="s">
        <v>16</v>
      </c>
      <c r="J777" t="s">
        <v>66</v>
      </c>
      <c r="K777" t="s">
        <v>69</v>
      </c>
      <c r="L777" t="s">
        <v>204</v>
      </c>
    </row>
    <row r="778" spans="1:12" hidden="1" x14ac:dyDescent="0.2">
      <c r="A778">
        <v>5</v>
      </c>
      <c r="B778" s="21">
        <v>45998</v>
      </c>
      <c r="C778" t="s">
        <v>318</v>
      </c>
      <c r="D778">
        <v>14</v>
      </c>
      <c r="E778" t="s">
        <v>323</v>
      </c>
      <c r="F778" s="21">
        <v>37350</v>
      </c>
      <c r="G778" s="24" t="s">
        <v>313</v>
      </c>
      <c r="H778" t="s">
        <v>294</v>
      </c>
      <c r="I778" t="s">
        <v>30</v>
      </c>
      <c r="J778" t="s">
        <v>66</v>
      </c>
      <c r="K778" t="s">
        <v>74</v>
      </c>
      <c r="L778" t="s">
        <v>203</v>
      </c>
    </row>
    <row r="779" spans="1:12" hidden="1" x14ac:dyDescent="0.2">
      <c r="A779">
        <v>5</v>
      </c>
      <c r="B779" s="21">
        <v>45998</v>
      </c>
      <c r="C779" t="s">
        <v>318</v>
      </c>
      <c r="D779">
        <v>14</v>
      </c>
      <c r="E779" t="s">
        <v>323</v>
      </c>
      <c r="F779" s="21">
        <v>37350</v>
      </c>
      <c r="G779" s="24" t="s">
        <v>321</v>
      </c>
      <c r="H779" t="s">
        <v>295</v>
      </c>
      <c r="I779" t="s">
        <v>261</v>
      </c>
      <c r="J779" t="s">
        <v>66</v>
      </c>
      <c r="K779" t="s">
        <v>79</v>
      </c>
      <c r="L779" t="s">
        <v>204</v>
      </c>
    </row>
    <row r="780" spans="1:12" hidden="1" x14ac:dyDescent="0.2">
      <c r="A780">
        <v>5</v>
      </c>
      <c r="B780" s="21">
        <v>45998</v>
      </c>
      <c r="C780" t="s">
        <v>318</v>
      </c>
      <c r="D780">
        <v>14</v>
      </c>
      <c r="E780" t="s">
        <v>323</v>
      </c>
      <c r="F780" s="21">
        <v>37350</v>
      </c>
      <c r="G780" s="24" t="s">
        <v>321</v>
      </c>
      <c r="H780" t="s">
        <v>285</v>
      </c>
      <c r="I780" t="s">
        <v>311</v>
      </c>
      <c r="J780" t="s">
        <v>71</v>
      </c>
      <c r="K780" t="s">
        <v>75</v>
      </c>
      <c r="L780" t="s">
        <v>204</v>
      </c>
    </row>
    <row r="781" spans="1:12" hidden="1" x14ac:dyDescent="0.2">
      <c r="A781">
        <v>5</v>
      </c>
      <c r="B781" s="21">
        <v>45998</v>
      </c>
      <c r="C781" t="s">
        <v>318</v>
      </c>
      <c r="D781">
        <v>14</v>
      </c>
      <c r="E781" t="s">
        <v>323</v>
      </c>
      <c r="F781" s="21">
        <v>37350</v>
      </c>
      <c r="G781" s="24" t="s">
        <v>321</v>
      </c>
      <c r="H781" t="s">
        <v>292</v>
      </c>
      <c r="I781" t="s">
        <v>199</v>
      </c>
      <c r="J781" t="s">
        <v>68</v>
      </c>
      <c r="K781" t="s">
        <v>75</v>
      </c>
      <c r="L781" t="s">
        <v>204</v>
      </c>
    </row>
    <row r="782" spans="1:12" hidden="1" x14ac:dyDescent="0.2">
      <c r="A782">
        <v>5</v>
      </c>
      <c r="B782" s="21">
        <v>45998</v>
      </c>
      <c r="C782" t="s">
        <v>318</v>
      </c>
      <c r="D782">
        <v>14</v>
      </c>
      <c r="E782" t="s">
        <v>323</v>
      </c>
      <c r="F782" s="21">
        <v>37350</v>
      </c>
      <c r="G782" s="24" t="s">
        <v>321</v>
      </c>
      <c r="H782" t="s">
        <v>293</v>
      </c>
      <c r="I782" t="s">
        <v>30</v>
      </c>
      <c r="J782" t="s">
        <v>64</v>
      </c>
      <c r="K782" t="s">
        <v>74</v>
      </c>
      <c r="L782" t="s">
        <v>203</v>
      </c>
    </row>
    <row r="783" spans="1:12" hidden="1" x14ac:dyDescent="0.2">
      <c r="A783">
        <v>5</v>
      </c>
      <c r="B783" s="21">
        <v>45998</v>
      </c>
      <c r="C783" t="s">
        <v>318</v>
      </c>
      <c r="D783">
        <v>14</v>
      </c>
      <c r="E783" t="s">
        <v>323</v>
      </c>
      <c r="F783" s="21">
        <v>37350</v>
      </c>
      <c r="G783" s="24" t="s">
        <v>321</v>
      </c>
      <c r="H783" t="s">
        <v>283</v>
      </c>
      <c r="I783" t="s">
        <v>34</v>
      </c>
      <c r="J783" t="s">
        <v>66</v>
      </c>
      <c r="K783" t="s">
        <v>79</v>
      </c>
      <c r="L783" t="s">
        <v>204</v>
      </c>
    </row>
    <row r="784" spans="1:12" hidden="1" x14ac:dyDescent="0.2">
      <c r="A784">
        <v>5</v>
      </c>
      <c r="B784" s="21">
        <v>45998</v>
      </c>
      <c r="C784" t="s">
        <v>318</v>
      </c>
      <c r="D784">
        <v>14</v>
      </c>
      <c r="E784" t="s">
        <v>323</v>
      </c>
      <c r="F784" s="21">
        <v>37350</v>
      </c>
      <c r="G784" s="24" t="s">
        <v>321</v>
      </c>
      <c r="H784" t="s">
        <v>293</v>
      </c>
      <c r="I784" t="s">
        <v>261</v>
      </c>
      <c r="J784" t="s">
        <v>66</v>
      </c>
      <c r="K784" t="s">
        <v>72</v>
      </c>
      <c r="L784" t="s">
        <v>202</v>
      </c>
    </row>
    <row r="785" spans="1:12" hidden="1" x14ac:dyDescent="0.2">
      <c r="A785">
        <v>5</v>
      </c>
      <c r="B785" s="21">
        <v>45998</v>
      </c>
      <c r="C785" t="s">
        <v>318</v>
      </c>
      <c r="D785">
        <v>14</v>
      </c>
      <c r="E785" t="s">
        <v>323</v>
      </c>
      <c r="F785" s="21">
        <v>37350</v>
      </c>
      <c r="G785" s="24" t="s">
        <v>321</v>
      </c>
      <c r="H785" t="s">
        <v>283</v>
      </c>
      <c r="I785" t="s">
        <v>200</v>
      </c>
      <c r="J785" t="s">
        <v>64</v>
      </c>
      <c r="K785" t="s">
        <v>67</v>
      </c>
      <c r="L785" t="s">
        <v>202</v>
      </c>
    </row>
    <row r="786" spans="1:12" hidden="1" x14ac:dyDescent="0.2">
      <c r="A786">
        <v>5</v>
      </c>
      <c r="B786" s="21">
        <v>45998</v>
      </c>
      <c r="C786" t="s">
        <v>318</v>
      </c>
      <c r="D786">
        <v>14</v>
      </c>
      <c r="E786" t="s">
        <v>323</v>
      </c>
      <c r="F786" s="21">
        <v>37350</v>
      </c>
      <c r="G786" s="24" t="s">
        <v>321</v>
      </c>
      <c r="H786" t="s">
        <v>295</v>
      </c>
      <c r="I786" t="s">
        <v>200</v>
      </c>
      <c r="K786" t="s">
        <v>72</v>
      </c>
      <c r="L786" t="s">
        <v>202</v>
      </c>
    </row>
    <row r="787" spans="1:12" hidden="1" x14ac:dyDescent="0.2">
      <c r="A787">
        <v>5</v>
      </c>
      <c r="B787" s="21">
        <v>45998</v>
      </c>
      <c r="C787" t="s">
        <v>318</v>
      </c>
      <c r="D787">
        <v>14</v>
      </c>
      <c r="E787" t="s">
        <v>323</v>
      </c>
      <c r="F787" s="21">
        <v>37350</v>
      </c>
      <c r="G787" s="24" t="s">
        <v>321</v>
      </c>
      <c r="H787" t="s">
        <v>295</v>
      </c>
      <c r="I787" t="s">
        <v>200</v>
      </c>
      <c r="K787" t="s">
        <v>72</v>
      </c>
      <c r="L787" t="s">
        <v>202</v>
      </c>
    </row>
    <row r="788" spans="1:12" hidden="1" x14ac:dyDescent="0.2">
      <c r="A788">
        <v>5</v>
      </c>
      <c r="B788" s="21">
        <v>45998</v>
      </c>
      <c r="C788" t="s">
        <v>318</v>
      </c>
      <c r="D788">
        <v>14</v>
      </c>
      <c r="E788" t="s">
        <v>323</v>
      </c>
      <c r="F788" s="21">
        <v>37350</v>
      </c>
      <c r="G788" s="24" t="s">
        <v>321</v>
      </c>
      <c r="H788" t="s">
        <v>293</v>
      </c>
      <c r="I788" t="s">
        <v>200</v>
      </c>
      <c r="J788" t="s">
        <v>71</v>
      </c>
      <c r="K788" t="s">
        <v>74</v>
      </c>
      <c r="L788" t="s">
        <v>203</v>
      </c>
    </row>
    <row r="789" spans="1:12" hidden="1" x14ac:dyDescent="0.2">
      <c r="A789">
        <v>5</v>
      </c>
      <c r="B789" s="21">
        <v>45998</v>
      </c>
      <c r="C789" t="s">
        <v>318</v>
      </c>
      <c r="D789">
        <v>14</v>
      </c>
      <c r="E789" t="s">
        <v>323</v>
      </c>
      <c r="F789" s="21">
        <v>37350</v>
      </c>
      <c r="G789" s="24" t="s">
        <v>321</v>
      </c>
      <c r="H789" t="s">
        <v>292</v>
      </c>
      <c r="I789" t="s">
        <v>14</v>
      </c>
      <c r="J789" t="s">
        <v>66</v>
      </c>
      <c r="K789" t="s">
        <v>79</v>
      </c>
      <c r="L789" t="s">
        <v>204</v>
      </c>
    </row>
    <row r="790" spans="1:12" hidden="1" x14ac:dyDescent="0.2">
      <c r="A790">
        <v>5</v>
      </c>
      <c r="B790" s="21">
        <v>45998</v>
      </c>
      <c r="C790" t="s">
        <v>318</v>
      </c>
      <c r="D790">
        <v>14</v>
      </c>
      <c r="E790" t="s">
        <v>323</v>
      </c>
      <c r="F790" s="21">
        <v>37350</v>
      </c>
      <c r="G790" s="24" t="s">
        <v>321</v>
      </c>
      <c r="H790" t="s">
        <v>296</v>
      </c>
      <c r="I790" t="s">
        <v>311</v>
      </c>
      <c r="J790" t="s">
        <v>71</v>
      </c>
      <c r="K790" t="s">
        <v>75</v>
      </c>
      <c r="L790" t="s">
        <v>204</v>
      </c>
    </row>
    <row r="791" spans="1:12" hidden="1" x14ac:dyDescent="0.2">
      <c r="A791">
        <v>5</v>
      </c>
      <c r="B791" s="21">
        <v>45998</v>
      </c>
      <c r="C791" t="s">
        <v>318</v>
      </c>
      <c r="D791">
        <v>14</v>
      </c>
      <c r="E791" t="s">
        <v>323</v>
      </c>
      <c r="F791" s="21">
        <v>37350</v>
      </c>
      <c r="G791" s="24" t="s">
        <v>321</v>
      </c>
      <c r="H791" t="s">
        <v>296</v>
      </c>
      <c r="I791" t="s">
        <v>12</v>
      </c>
      <c r="J791" t="s">
        <v>66</v>
      </c>
      <c r="K791" t="s">
        <v>79</v>
      </c>
      <c r="L791" t="s">
        <v>204</v>
      </c>
    </row>
    <row r="792" spans="1:12" hidden="1" x14ac:dyDescent="0.2">
      <c r="A792">
        <v>5</v>
      </c>
      <c r="B792" s="21">
        <v>45998</v>
      </c>
      <c r="C792" t="s">
        <v>318</v>
      </c>
      <c r="D792">
        <v>14</v>
      </c>
      <c r="E792" t="s">
        <v>323</v>
      </c>
      <c r="F792" s="21">
        <v>37350</v>
      </c>
      <c r="G792" s="24" t="s">
        <v>321</v>
      </c>
      <c r="H792" t="s">
        <v>296</v>
      </c>
      <c r="I792" t="s">
        <v>6</v>
      </c>
      <c r="J792" t="s">
        <v>66</v>
      </c>
      <c r="K792" t="s">
        <v>79</v>
      </c>
      <c r="L792" t="s">
        <v>204</v>
      </c>
    </row>
    <row r="793" spans="1:12" hidden="1" x14ac:dyDescent="0.2">
      <c r="A793">
        <v>5</v>
      </c>
      <c r="B793" s="21">
        <v>45998</v>
      </c>
      <c r="C793" t="s">
        <v>318</v>
      </c>
      <c r="D793">
        <v>14</v>
      </c>
      <c r="E793" t="s">
        <v>323</v>
      </c>
      <c r="F793" s="21">
        <v>37350</v>
      </c>
      <c r="G793" s="24" t="s">
        <v>321</v>
      </c>
      <c r="H793" t="s">
        <v>293</v>
      </c>
      <c r="I793" t="s">
        <v>23</v>
      </c>
      <c r="J793" t="s">
        <v>66</v>
      </c>
      <c r="K793" t="s">
        <v>70</v>
      </c>
      <c r="L793" t="s">
        <v>204</v>
      </c>
    </row>
    <row r="794" spans="1:12" hidden="1" x14ac:dyDescent="0.2">
      <c r="A794">
        <v>5</v>
      </c>
      <c r="B794" s="21">
        <v>45998</v>
      </c>
      <c r="C794" t="s">
        <v>318</v>
      </c>
      <c r="D794">
        <v>14</v>
      </c>
      <c r="E794" t="s">
        <v>323</v>
      </c>
      <c r="F794" s="21">
        <v>37350</v>
      </c>
      <c r="G794" s="24" t="s">
        <v>321</v>
      </c>
      <c r="H794" t="s">
        <v>293</v>
      </c>
      <c r="I794" t="s">
        <v>261</v>
      </c>
      <c r="J794" t="s">
        <v>64</v>
      </c>
      <c r="K794" t="s">
        <v>70</v>
      </c>
      <c r="L794" t="s">
        <v>204</v>
      </c>
    </row>
    <row r="795" spans="1:12" hidden="1" x14ac:dyDescent="0.2">
      <c r="A795">
        <v>5</v>
      </c>
      <c r="B795" s="21">
        <v>45998</v>
      </c>
      <c r="C795" t="s">
        <v>318</v>
      </c>
      <c r="D795">
        <v>14</v>
      </c>
      <c r="E795" t="s">
        <v>323</v>
      </c>
      <c r="F795" s="21">
        <v>37350</v>
      </c>
      <c r="G795" s="24" t="s">
        <v>321</v>
      </c>
      <c r="H795" t="s">
        <v>292</v>
      </c>
      <c r="I795" t="s">
        <v>200</v>
      </c>
      <c r="J795" t="s">
        <v>64</v>
      </c>
      <c r="K795" t="s">
        <v>74</v>
      </c>
      <c r="L795" t="s">
        <v>203</v>
      </c>
    </row>
    <row r="796" spans="1:12" hidden="1" x14ac:dyDescent="0.2">
      <c r="A796">
        <v>5</v>
      </c>
      <c r="B796" s="21">
        <v>45998</v>
      </c>
      <c r="C796" t="s">
        <v>318</v>
      </c>
      <c r="D796">
        <v>14</v>
      </c>
      <c r="E796" t="s">
        <v>323</v>
      </c>
      <c r="F796" s="21">
        <v>37350</v>
      </c>
      <c r="G796" s="24" t="s">
        <v>321</v>
      </c>
      <c r="H796" t="s">
        <v>278</v>
      </c>
      <c r="I796" t="s">
        <v>311</v>
      </c>
      <c r="J796" t="s">
        <v>68</v>
      </c>
      <c r="K796" t="s">
        <v>74</v>
      </c>
      <c r="L796" t="s">
        <v>203</v>
      </c>
    </row>
    <row r="797" spans="1:12" hidden="1" x14ac:dyDescent="0.2">
      <c r="A797">
        <v>5</v>
      </c>
      <c r="B797" s="21">
        <v>45998</v>
      </c>
      <c r="C797" t="s">
        <v>318</v>
      </c>
      <c r="D797">
        <v>14</v>
      </c>
      <c r="E797" t="s">
        <v>323</v>
      </c>
      <c r="F797" s="21">
        <v>37350</v>
      </c>
      <c r="G797" s="24" t="s">
        <v>321</v>
      </c>
      <c r="H797" t="s">
        <v>290</v>
      </c>
      <c r="I797" t="s">
        <v>30</v>
      </c>
      <c r="J797" t="s">
        <v>66</v>
      </c>
      <c r="K797" t="s">
        <v>72</v>
      </c>
      <c r="L797" t="s">
        <v>202</v>
      </c>
    </row>
    <row r="798" spans="1:12" hidden="1" x14ac:dyDescent="0.2">
      <c r="A798">
        <v>5</v>
      </c>
      <c r="B798" s="21">
        <v>45998</v>
      </c>
      <c r="C798" t="s">
        <v>318</v>
      </c>
      <c r="D798">
        <v>14</v>
      </c>
      <c r="E798" t="s">
        <v>323</v>
      </c>
      <c r="F798" s="21">
        <v>37350</v>
      </c>
      <c r="G798" s="24" t="s">
        <v>321</v>
      </c>
      <c r="H798" t="s">
        <v>293</v>
      </c>
      <c r="I798" t="s">
        <v>76</v>
      </c>
      <c r="J798" t="s">
        <v>64</v>
      </c>
      <c r="K798" t="s">
        <v>67</v>
      </c>
      <c r="L798" t="s">
        <v>202</v>
      </c>
    </row>
    <row r="799" spans="1:12" hidden="1" x14ac:dyDescent="0.2">
      <c r="A799">
        <v>5</v>
      </c>
      <c r="B799" s="21">
        <v>45998</v>
      </c>
      <c r="C799" t="s">
        <v>318</v>
      </c>
      <c r="D799">
        <v>14</v>
      </c>
      <c r="E799" t="s">
        <v>323</v>
      </c>
      <c r="F799" s="21">
        <v>37350</v>
      </c>
      <c r="G799" s="24" t="s">
        <v>321</v>
      </c>
      <c r="H799" t="s">
        <v>293</v>
      </c>
      <c r="I799" t="s">
        <v>30</v>
      </c>
      <c r="J799" t="s">
        <v>64</v>
      </c>
      <c r="K799" t="s">
        <v>65</v>
      </c>
      <c r="L799" t="s">
        <v>202</v>
      </c>
    </row>
    <row r="800" spans="1:12" hidden="1" x14ac:dyDescent="0.2">
      <c r="A800">
        <v>5</v>
      </c>
      <c r="B800" s="21">
        <v>45998</v>
      </c>
      <c r="C800" t="s">
        <v>318</v>
      </c>
      <c r="D800">
        <v>14</v>
      </c>
      <c r="E800" t="s">
        <v>323</v>
      </c>
      <c r="F800" s="21">
        <v>37350</v>
      </c>
      <c r="G800" s="24" t="s">
        <v>321</v>
      </c>
      <c r="H800" t="s">
        <v>294</v>
      </c>
      <c r="I800" t="s">
        <v>200</v>
      </c>
      <c r="J800" t="s">
        <v>71</v>
      </c>
      <c r="K800" t="s">
        <v>74</v>
      </c>
      <c r="L800" t="s">
        <v>203</v>
      </c>
    </row>
    <row r="801" spans="1:12" hidden="1" x14ac:dyDescent="0.2">
      <c r="A801">
        <v>5</v>
      </c>
      <c r="B801" s="21">
        <v>45998</v>
      </c>
      <c r="C801" t="s">
        <v>318</v>
      </c>
      <c r="D801">
        <v>14</v>
      </c>
      <c r="E801" t="s">
        <v>323</v>
      </c>
      <c r="F801" s="21">
        <v>37350</v>
      </c>
      <c r="G801" s="24" t="s">
        <v>321</v>
      </c>
      <c r="H801" t="s">
        <v>294</v>
      </c>
      <c r="I801" t="s">
        <v>200</v>
      </c>
      <c r="J801" t="s">
        <v>71</v>
      </c>
      <c r="K801" t="s">
        <v>74</v>
      </c>
      <c r="L801" t="s">
        <v>203</v>
      </c>
    </row>
    <row r="802" spans="1:12" hidden="1" x14ac:dyDescent="0.2">
      <c r="A802">
        <v>5</v>
      </c>
      <c r="B802" s="21">
        <v>45998</v>
      </c>
      <c r="C802" t="s">
        <v>318</v>
      </c>
      <c r="D802">
        <v>14</v>
      </c>
      <c r="E802" t="s">
        <v>323</v>
      </c>
      <c r="F802" s="21">
        <v>37350</v>
      </c>
      <c r="G802" s="24" t="s">
        <v>321</v>
      </c>
      <c r="H802" t="s">
        <v>306</v>
      </c>
      <c r="I802" t="s">
        <v>14</v>
      </c>
      <c r="J802" t="s">
        <v>64</v>
      </c>
      <c r="K802" t="s">
        <v>79</v>
      </c>
      <c r="L802" t="s">
        <v>204</v>
      </c>
    </row>
    <row r="803" spans="1:12" hidden="1" x14ac:dyDescent="0.2">
      <c r="A803">
        <v>5</v>
      </c>
      <c r="B803" s="21">
        <v>45998</v>
      </c>
      <c r="C803" t="s">
        <v>318</v>
      </c>
      <c r="D803">
        <v>14</v>
      </c>
      <c r="E803" t="s">
        <v>323</v>
      </c>
      <c r="F803" s="21">
        <v>37350</v>
      </c>
      <c r="G803" s="24" t="s">
        <v>321</v>
      </c>
      <c r="H803" t="s">
        <v>296</v>
      </c>
      <c r="I803" t="s">
        <v>21</v>
      </c>
      <c r="J803" t="s">
        <v>66</v>
      </c>
      <c r="K803" t="s">
        <v>79</v>
      </c>
      <c r="L803" t="s">
        <v>204</v>
      </c>
    </row>
    <row r="804" spans="1:12" hidden="1" x14ac:dyDescent="0.2">
      <c r="A804">
        <v>5</v>
      </c>
      <c r="B804" s="21">
        <v>45998</v>
      </c>
      <c r="C804" t="s">
        <v>318</v>
      </c>
      <c r="D804">
        <v>14</v>
      </c>
      <c r="E804" t="s">
        <v>323</v>
      </c>
      <c r="F804" s="21">
        <v>37350</v>
      </c>
      <c r="G804" s="24" t="s">
        <v>321</v>
      </c>
      <c r="H804" t="s">
        <v>285</v>
      </c>
      <c r="I804" t="s">
        <v>205</v>
      </c>
      <c r="J804" t="s">
        <v>66</v>
      </c>
      <c r="K804" t="s">
        <v>70</v>
      </c>
      <c r="L804" t="s">
        <v>204</v>
      </c>
    </row>
    <row r="805" spans="1:12" hidden="1" x14ac:dyDescent="0.2">
      <c r="A805">
        <v>5</v>
      </c>
      <c r="B805" s="21">
        <v>45998</v>
      </c>
      <c r="C805" t="s">
        <v>318</v>
      </c>
      <c r="D805">
        <v>14</v>
      </c>
      <c r="E805" t="s">
        <v>323</v>
      </c>
      <c r="F805" s="21">
        <v>37350</v>
      </c>
      <c r="G805" s="24" t="s">
        <v>321</v>
      </c>
      <c r="H805" t="s">
        <v>296</v>
      </c>
      <c r="I805" t="s">
        <v>9</v>
      </c>
      <c r="J805" t="s">
        <v>66</v>
      </c>
      <c r="K805" t="s">
        <v>79</v>
      </c>
      <c r="L805" t="s">
        <v>204</v>
      </c>
    </row>
    <row r="806" spans="1:12" hidden="1" x14ac:dyDescent="0.2">
      <c r="A806">
        <v>5</v>
      </c>
      <c r="B806" s="21">
        <v>45998</v>
      </c>
      <c r="C806" t="s">
        <v>318</v>
      </c>
      <c r="D806">
        <v>14</v>
      </c>
      <c r="E806" t="s">
        <v>323</v>
      </c>
      <c r="F806" s="21">
        <v>37350</v>
      </c>
      <c r="G806" s="24" t="s">
        <v>321</v>
      </c>
      <c r="H806" t="s">
        <v>285</v>
      </c>
      <c r="I806" t="s">
        <v>199</v>
      </c>
      <c r="J806" t="s">
        <v>68</v>
      </c>
      <c r="K806" t="s">
        <v>75</v>
      </c>
      <c r="L806" t="s">
        <v>204</v>
      </c>
    </row>
    <row r="807" spans="1:12" hidden="1" x14ac:dyDescent="0.2">
      <c r="A807">
        <v>5</v>
      </c>
      <c r="B807" s="21">
        <v>45998</v>
      </c>
      <c r="C807" t="s">
        <v>318</v>
      </c>
      <c r="D807">
        <v>14</v>
      </c>
      <c r="E807" t="s">
        <v>323</v>
      </c>
      <c r="F807" s="21">
        <v>37350</v>
      </c>
      <c r="G807" s="24" t="s">
        <v>321</v>
      </c>
      <c r="H807" t="s">
        <v>306</v>
      </c>
      <c r="I807" t="s">
        <v>200</v>
      </c>
      <c r="J807" t="s">
        <v>68</v>
      </c>
      <c r="K807" t="s">
        <v>75</v>
      </c>
      <c r="L807" t="s">
        <v>204</v>
      </c>
    </row>
    <row r="808" spans="1:12" hidden="1" x14ac:dyDescent="0.2">
      <c r="A808">
        <v>5</v>
      </c>
      <c r="B808" s="21">
        <v>45998</v>
      </c>
      <c r="C808" t="s">
        <v>318</v>
      </c>
      <c r="D808">
        <v>14</v>
      </c>
      <c r="E808" t="s">
        <v>323</v>
      </c>
      <c r="F808" s="21">
        <v>37350</v>
      </c>
      <c r="G808" s="24" t="s">
        <v>321</v>
      </c>
      <c r="H808" t="s">
        <v>278</v>
      </c>
      <c r="I808" t="s">
        <v>200</v>
      </c>
      <c r="J808" t="s">
        <v>71</v>
      </c>
      <c r="K808" t="s">
        <v>65</v>
      </c>
      <c r="L808" t="s">
        <v>202</v>
      </c>
    </row>
    <row r="809" spans="1:12" hidden="1" x14ac:dyDescent="0.2">
      <c r="A809">
        <v>5</v>
      </c>
      <c r="B809" s="21">
        <v>45998</v>
      </c>
      <c r="C809" t="s">
        <v>318</v>
      </c>
      <c r="D809">
        <v>14</v>
      </c>
      <c r="E809" t="s">
        <v>323</v>
      </c>
      <c r="F809" s="21">
        <v>37350</v>
      </c>
      <c r="G809" s="24" t="s">
        <v>321</v>
      </c>
      <c r="H809" t="s">
        <v>278</v>
      </c>
      <c r="I809" t="s">
        <v>30</v>
      </c>
      <c r="J809" t="s">
        <v>71</v>
      </c>
      <c r="K809" t="s">
        <v>65</v>
      </c>
      <c r="L809" t="s">
        <v>202</v>
      </c>
    </row>
    <row r="810" spans="1:12" hidden="1" x14ac:dyDescent="0.2">
      <c r="A810">
        <v>5</v>
      </c>
      <c r="B810" s="21">
        <v>45998</v>
      </c>
      <c r="C810" t="s">
        <v>318</v>
      </c>
      <c r="D810">
        <v>14</v>
      </c>
      <c r="E810" t="s">
        <v>323</v>
      </c>
      <c r="F810" s="21">
        <v>37350</v>
      </c>
      <c r="G810" s="24" t="s">
        <v>321</v>
      </c>
      <c r="H810" t="s">
        <v>294</v>
      </c>
      <c r="I810" t="s">
        <v>200</v>
      </c>
      <c r="J810" t="s">
        <v>68</v>
      </c>
      <c r="K810" t="s">
        <v>74</v>
      </c>
      <c r="L810" t="s">
        <v>203</v>
      </c>
    </row>
    <row r="811" spans="1:12" hidden="1" x14ac:dyDescent="0.2">
      <c r="A811">
        <v>5</v>
      </c>
      <c r="B811" s="21">
        <v>45998</v>
      </c>
      <c r="C811" t="s">
        <v>318</v>
      </c>
      <c r="D811">
        <v>14</v>
      </c>
      <c r="E811" t="s">
        <v>323</v>
      </c>
      <c r="F811" s="21">
        <v>37350</v>
      </c>
      <c r="G811" s="24" t="s">
        <v>321</v>
      </c>
      <c r="H811" t="s">
        <v>293</v>
      </c>
      <c r="I811" t="s">
        <v>200</v>
      </c>
      <c r="J811" t="s">
        <v>68</v>
      </c>
      <c r="K811" t="s">
        <v>74</v>
      </c>
      <c r="L811" t="s">
        <v>203</v>
      </c>
    </row>
    <row r="812" spans="1:12" hidden="1" x14ac:dyDescent="0.2">
      <c r="A812">
        <v>5</v>
      </c>
      <c r="B812" s="21">
        <v>45998</v>
      </c>
      <c r="C812" t="s">
        <v>318</v>
      </c>
      <c r="D812">
        <v>14</v>
      </c>
      <c r="E812" t="s">
        <v>323</v>
      </c>
      <c r="F812" s="21">
        <v>37350</v>
      </c>
      <c r="G812" s="24" t="s">
        <v>321</v>
      </c>
      <c r="H812" t="s">
        <v>294</v>
      </c>
      <c r="I812" t="s">
        <v>30</v>
      </c>
      <c r="J812" t="s">
        <v>71</v>
      </c>
      <c r="K812" t="s">
        <v>72</v>
      </c>
      <c r="L812" t="s">
        <v>202</v>
      </c>
    </row>
    <row r="813" spans="1:12" hidden="1" x14ac:dyDescent="0.2">
      <c r="A813">
        <v>5</v>
      </c>
      <c r="B813" s="21">
        <v>45998</v>
      </c>
      <c r="C813" t="s">
        <v>318</v>
      </c>
      <c r="D813">
        <v>14</v>
      </c>
      <c r="E813" t="s">
        <v>323</v>
      </c>
      <c r="F813" s="21">
        <v>37350</v>
      </c>
      <c r="G813" s="24" t="s">
        <v>321</v>
      </c>
      <c r="H813" t="s">
        <v>294</v>
      </c>
      <c r="I813" t="s">
        <v>6</v>
      </c>
      <c r="J813" t="s">
        <v>66</v>
      </c>
      <c r="K813" t="s">
        <v>72</v>
      </c>
      <c r="L813" t="s">
        <v>202</v>
      </c>
    </row>
    <row r="814" spans="1:12" hidden="1" x14ac:dyDescent="0.2">
      <c r="A814">
        <v>5</v>
      </c>
      <c r="B814" s="21">
        <v>45998</v>
      </c>
      <c r="C814" t="s">
        <v>318</v>
      </c>
      <c r="D814">
        <v>14</v>
      </c>
      <c r="E814" t="s">
        <v>323</v>
      </c>
      <c r="F814" s="21">
        <v>37350</v>
      </c>
      <c r="G814" s="24" t="s">
        <v>321</v>
      </c>
      <c r="H814" t="s">
        <v>296</v>
      </c>
      <c r="I814" t="s">
        <v>6</v>
      </c>
      <c r="J814" t="s">
        <v>64</v>
      </c>
      <c r="K814" t="s">
        <v>72</v>
      </c>
      <c r="L814" t="s">
        <v>202</v>
      </c>
    </row>
    <row r="815" spans="1:12" hidden="1" x14ac:dyDescent="0.2">
      <c r="A815">
        <v>5</v>
      </c>
      <c r="B815" s="21">
        <v>45998</v>
      </c>
      <c r="C815" t="s">
        <v>318</v>
      </c>
      <c r="D815">
        <v>14</v>
      </c>
      <c r="E815" t="s">
        <v>323</v>
      </c>
      <c r="F815" s="21">
        <v>37350</v>
      </c>
      <c r="G815" s="24" t="s">
        <v>321</v>
      </c>
      <c r="H815" t="s">
        <v>294</v>
      </c>
      <c r="I815" t="s">
        <v>200</v>
      </c>
      <c r="J815" t="s">
        <v>71</v>
      </c>
      <c r="K815" t="s">
        <v>74</v>
      </c>
      <c r="L815" t="s">
        <v>203</v>
      </c>
    </row>
    <row r="816" spans="1:12" hidden="1" x14ac:dyDescent="0.2">
      <c r="A816">
        <v>5</v>
      </c>
      <c r="B816" s="21">
        <v>45998</v>
      </c>
      <c r="C816" t="s">
        <v>318</v>
      </c>
      <c r="D816">
        <v>14</v>
      </c>
      <c r="E816" t="s">
        <v>323</v>
      </c>
      <c r="F816" s="21">
        <v>37350</v>
      </c>
      <c r="G816" s="24" t="s">
        <v>321</v>
      </c>
      <c r="H816" t="s">
        <v>293</v>
      </c>
      <c r="I816" t="s">
        <v>6</v>
      </c>
      <c r="J816" t="s">
        <v>66</v>
      </c>
      <c r="K816" t="s">
        <v>67</v>
      </c>
      <c r="L816" t="s">
        <v>202</v>
      </c>
    </row>
    <row r="817" spans="1:12" hidden="1" x14ac:dyDescent="0.2">
      <c r="A817">
        <v>5</v>
      </c>
      <c r="B817" s="21">
        <v>45998</v>
      </c>
      <c r="C817" t="s">
        <v>318</v>
      </c>
      <c r="D817">
        <v>14</v>
      </c>
      <c r="E817" t="s">
        <v>323</v>
      </c>
      <c r="F817" s="21">
        <v>37350</v>
      </c>
      <c r="G817" s="24" t="s">
        <v>321</v>
      </c>
      <c r="H817" t="s">
        <v>283</v>
      </c>
      <c r="I817" t="s">
        <v>30</v>
      </c>
      <c r="J817" t="s">
        <v>66</v>
      </c>
      <c r="K817" t="s">
        <v>67</v>
      </c>
      <c r="L817" t="s">
        <v>202</v>
      </c>
    </row>
    <row r="818" spans="1:12" hidden="1" x14ac:dyDescent="0.2">
      <c r="A818">
        <v>5</v>
      </c>
      <c r="B818" s="21">
        <v>45998</v>
      </c>
      <c r="C818" t="s">
        <v>318</v>
      </c>
      <c r="D818">
        <v>14</v>
      </c>
      <c r="E818" t="s">
        <v>323</v>
      </c>
      <c r="F818" s="21">
        <v>37350</v>
      </c>
      <c r="G818" s="24" t="s">
        <v>321</v>
      </c>
      <c r="H818" t="s">
        <v>296</v>
      </c>
      <c r="I818" t="s">
        <v>14</v>
      </c>
      <c r="J818" t="s">
        <v>80</v>
      </c>
      <c r="K818" t="s">
        <v>79</v>
      </c>
      <c r="L818" t="s">
        <v>204</v>
      </c>
    </row>
    <row r="819" spans="1:12" hidden="1" x14ac:dyDescent="0.2">
      <c r="A819">
        <v>5</v>
      </c>
      <c r="B819" s="21">
        <v>45998</v>
      </c>
      <c r="C819" t="s">
        <v>318</v>
      </c>
      <c r="D819">
        <v>14</v>
      </c>
      <c r="E819" t="s">
        <v>323</v>
      </c>
      <c r="F819" s="21">
        <v>37350</v>
      </c>
      <c r="G819" s="24" t="s">
        <v>321</v>
      </c>
      <c r="H819" t="s">
        <v>294</v>
      </c>
      <c r="I819" t="s">
        <v>30</v>
      </c>
      <c r="J819" t="s">
        <v>64</v>
      </c>
      <c r="K819" t="s">
        <v>72</v>
      </c>
      <c r="L819" t="s">
        <v>202</v>
      </c>
    </row>
    <row r="820" spans="1:12" hidden="1" x14ac:dyDescent="0.2">
      <c r="A820">
        <v>5</v>
      </c>
      <c r="B820" s="21">
        <v>45998</v>
      </c>
      <c r="C820" t="s">
        <v>318</v>
      </c>
      <c r="D820">
        <v>14</v>
      </c>
      <c r="E820" t="s">
        <v>323</v>
      </c>
      <c r="F820" s="21">
        <v>37350</v>
      </c>
      <c r="G820" s="24" t="s">
        <v>321</v>
      </c>
      <c r="H820" t="s">
        <v>306</v>
      </c>
      <c r="I820" t="s">
        <v>200</v>
      </c>
      <c r="J820" t="s">
        <v>68</v>
      </c>
      <c r="K820" t="s">
        <v>75</v>
      </c>
      <c r="L820" t="s">
        <v>204</v>
      </c>
    </row>
    <row r="821" spans="1:12" hidden="1" x14ac:dyDescent="0.2">
      <c r="A821">
        <v>5</v>
      </c>
      <c r="B821" s="21">
        <v>45998</v>
      </c>
      <c r="C821" t="s">
        <v>318</v>
      </c>
      <c r="D821">
        <v>14</v>
      </c>
      <c r="E821" t="s">
        <v>323</v>
      </c>
      <c r="F821" s="21">
        <v>37350</v>
      </c>
      <c r="G821" s="24" t="s">
        <v>321</v>
      </c>
      <c r="H821" t="s">
        <v>292</v>
      </c>
      <c r="I821" t="s">
        <v>311</v>
      </c>
      <c r="J821" t="s">
        <v>68</v>
      </c>
      <c r="K821" t="s">
        <v>75</v>
      </c>
      <c r="L821" t="s">
        <v>204</v>
      </c>
    </row>
    <row r="822" spans="1:12" hidden="1" x14ac:dyDescent="0.2">
      <c r="A822">
        <v>5</v>
      </c>
      <c r="B822" s="21">
        <v>45998</v>
      </c>
      <c r="C822" t="s">
        <v>318</v>
      </c>
      <c r="D822">
        <v>14</v>
      </c>
      <c r="E822" t="s">
        <v>323</v>
      </c>
      <c r="F822" s="21">
        <v>37350</v>
      </c>
      <c r="G822" s="24" t="s">
        <v>321</v>
      </c>
      <c r="H822" t="s">
        <v>294</v>
      </c>
      <c r="I822" t="s">
        <v>200</v>
      </c>
      <c r="J822" t="s">
        <v>71</v>
      </c>
      <c r="K822" t="s">
        <v>74</v>
      </c>
      <c r="L822" t="s">
        <v>203</v>
      </c>
    </row>
    <row r="823" spans="1:12" hidden="1" x14ac:dyDescent="0.2">
      <c r="A823">
        <v>5</v>
      </c>
      <c r="B823" s="21">
        <v>45998</v>
      </c>
      <c r="C823" t="s">
        <v>318</v>
      </c>
      <c r="D823">
        <v>14</v>
      </c>
      <c r="E823" t="s">
        <v>323</v>
      </c>
      <c r="F823" s="21">
        <v>37350</v>
      </c>
      <c r="G823" s="24" t="s">
        <v>321</v>
      </c>
      <c r="H823" t="s">
        <v>293</v>
      </c>
      <c r="I823" t="s">
        <v>311</v>
      </c>
      <c r="J823" t="s">
        <v>68</v>
      </c>
      <c r="K823" t="s">
        <v>75</v>
      </c>
      <c r="L823" t="s">
        <v>204</v>
      </c>
    </row>
    <row r="824" spans="1:12" hidden="1" x14ac:dyDescent="0.2">
      <c r="A824">
        <v>5</v>
      </c>
      <c r="B824" s="21">
        <v>45998</v>
      </c>
      <c r="C824" t="s">
        <v>318</v>
      </c>
      <c r="D824">
        <v>14</v>
      </c>
      <c r="E824" t="s">
        <v>323</v>
      </c>
      <c r="F824" s="21">
        <v>37350</v>
      </c>
      <c r="G824" s="24" t="s">
        <v>321</v>
      </c>
      <c r="H824" t="s">
        <v>285</v>
      </c>
      <c r="I824" t="s">
        <v>38</v>
      </c>
      <c r="J824" t="s">
        <v>66</v>
      </c>
      <c r="K824" t="s">
        <v>79</v>
      </c>
      <c r="L824" t="s">
        <v>204</v>
      </c>
    </row>
    <row r="825" spans="1:12" hidden="1" x14ac:dyDescent="0.2">
      <c r="A825">
        <v>5</v>
      </c>
      <c r="B825" s="21">
        <v>45998</v>
      </c>
      <c r="C825" t="s">
        <v>318</v>
      </c>
      <c r="D825">
        <v>14</v>
      </c>
      <c r="E825" t="s">
        <v>323</v>
      </c>
      <c r="F825" s="21">
        <v>37350</v>
      </c>
      <c r="G825" s="24" t="s">
        <v>321</v>
      </c>
      <c r="H825" t="s">
        <v>292</v>
      </c>
      <c r="I825" t="s">
        <v>199</v>
      </c>
      <c r="J825" t="s">
        <v>71</v>
      </c>
      <c r="K825" t="s">
        <v>72</v>
      </c>
      <c r="L825" t="s">
        <v>202</v>
      </c>
    </row>
    <row r="826" spans="1:12" hidden="1" x14ac:dyDescent="0.2">
      <c r="A826">
        <v>5</v>
      </c>
      <c r="B826" s="21">
        <v>45998</v>
      </c>
      <c r="C826" t="s">
        <v>318</v>
      </c>
      <c r="D826">
        <v>14</v>
      </c>
      <c r="E826" t="s">
        <v>323</v>
      </c>
      <c r="F826" s="21">
        <v>37350</v>
      </c>
      <c r="G826" s="24" t="s">
        <v>309</v>
      </c>
      <c r="H826" t="s">
        <v>294</v>
      </c>
      <c r="I826" t="s">
        <v>200</v>
      </c>
      <c r="J826" t="s">
        <v>71</v>
      </c>
      <c r="K826" t="s">
        <v>74</v>
      </c>
      <c r="L826" t="s">
        <v>203</v>
      </c>
    </row>
    <row r="827" spans="1:12" hidden="1" x14ac:dyDescent="0.2">
      <c r="A827">
        <v>5</v>
      </c>
      <c r="B827" s="21">
        <v>45998</v>
      </c>
      <c r="C827" t="s">
        <v>318</v>
      </c>
      <c r="D827">
        <v>14</v>
      </c>
      <c r="E827" t="s">
        <v>323</v>
      </c>
      <c r="F827" s="21">
        <v>37350</v>
      </c>
      <c r="G827" s="24" t="s">
        <v>309</v>
      </c>
      <c r="H827" t="s">
        <v>295</v>
      </c>
      <c r="I827" t="s">
        <v>200</v>
      </c>
      <c r="J827" t="s">
        <v>71</v>
      </c>
      <c r="K827" t="s">
        <v>79</v>
      </c>
      <c r="L827" t="s">
        <v>204</v>
      </c>
    </row>
    <row r="828" spans="1:12" hidden="1" x14ac:dyDescent="0.2">
      <c r="A828">
        <v>5</v>
      </c>
      <c r="B828" s="21">
        <v>45998</v>
      </c>
      <c r="C828" t="s">
        <v>318</v>
      </c>
      <c r="D828">
        <v>14</v>
      </c>
      <c r="E828" t="s">
        <v>323</v>
      </c>
      <c r="F828" s="21">
        <v>37350</v>
      </c>
      <c r="G828" s="24" t="s">
        <v>309</v>
      </c>
      <c r="H828" t="s">
        <v>306</v>
      </c>
      <c r="I828" t="s">
        <v>12</v>
      </c>
      <c r="J828" t="s">
        <v>64</v>
      </c>
      <c r="K828" t="s">
        <v>75</v>
      </c>
      <c r="L828" t="s">
        <v>204</v>
      </c>
    </row>
    <row r="829" spans="1:12" hidden="1" x14ac:dyDescent="0.2">
      <c r="A829">
        <v>5</v>
      </c>
      <c r="B829" s="21">
        <v>45998</v>
      </c>
      <c r="C829" t="s">
        <v>318</v>
      </c>
      <c r="D829">
        <v>14</v>
      </c>
      <c r="E829" t="s">
        <v>323</v>
      </c>
      <c r="F829" s="21">
        <v>37350</v>
      </c>
      <c r="G829" s="24" t="s">
        <v>309</v>
      </c>
      <c r="H829" t="s">
        <v>296</v>
      </c>
      <c r="I829" t="s">
        <v>76</v>
      </c>
      <c r="J829" t="s">
        <v>64</v>
      </c>
      <c r="K829" t="s">
        <v>73</v>
      </c>
      <c r="L829" t="s">
        <v>203</v>
      </c>
    </row>
    <row r="830" spans="1:12" hidden="1" x14ac:dyDescent="0.2">
      <c r="A830">
        <v>5</v>
      </c>
      <c r="B830" s="21">
        <v>45998</v>
      </c>
      <c r="C830" t="s">
        <v>318</v>
      </c>
      <c r="D830">
        <v>14</v>
      </c>
      <c r="E830" t="s">
        <v>323</v>
      </c>
      <c r="F830" s="21">
        <v>37350</v>
      </c>
      <c r="G830" s="24" t="s">
        <v>309</v>
      </c>
      <c r="H830" t="s">
        <v>295</v>
      </c>
      <c r="I830" t="s">
        <v>200</v>
      </c>
      <c r="J830" t="s">
        <v>71</v>
      </c>
      <c r="K830" t="s">
        <v>79</v>
      </c>
      <c r="L830" t="s">
        <v>204</v>
      </c>
    </row>
    <row r="831" spans="1:12" hidden="1" x14ac:dyDescent="0.2">
      <c r="A831">
        <v>5</v>
      </c>
      <c r="B831" s="21">
        <v>45998</v>
      </c>
      <c r="C831" t="s">
        <v>318</v>
      </c>
      <c r="D831">
        <v>14</v>
      </c>
      <c r="E831" t="s">
        <v>323</v>
      </c>
      <c r="F831" s="21">
        <v>37350</v>
      </c>
      <c r="G831" s="24" t="s">
        <v>309</v>
      </c>
      <c r="H831" t="s">
        <v>296</v>
      </c>
      <c r="I831" t="s">
        <v>200</v>
      </c>
      <c r="J831" t="s">
        <v>71</v>
      </c>
      <c r="K831" t="s">
        <v>79</v>
      </c>
      <c r="L831" t="s">
        <v>204</v>
      </c>
    </row>
    <row r="832" spans="1:12" hidden="1" x14ac:dyDescent="0.2">
      <c r="A832">
        <v>5</v>
      </c>
      <c r="B832" s="21">
        <v>45998</v>
      </c>
      <c r="C832" t="s">
        <v>318</v>
      </c>
      <c r="D832">
        <v>14</v>
      </c>
      <c r="E832" t="s">
        <v>323</v>
      </c>
      <c r="F832" s="21">
        <v>37350</v>
      </c>
      <c r="G832" s="24" t="s">
        <v>309</v>
      </c>
      <c r="H832" t="s">
        <v>296</v>
      </c>
      <c r="I832" t="s">
        <v>14</v>
      </c>
      <c r="J832" t="s">
        <v>64</v>
      </c>
      <c r="K832" t="s">
        <v>75</v>
      </c>
      <c r="L832" t="s">
        <v>204</v>
      </c>
    </row>
    <row r="833" spans="1:12" hidden="1" x14ac:dyDescent="0.2">
      <c r="A833">
        <v>5</v>
      </c>
      <c r="B833" s="21">
        <v>45998</v>
      </c>
      <c r="C833" t="s">
        <v>318</v>
      </c>
      <c r="D833">
        <v>14</v>
      </c>
      <c r="E833" t="s">
        <v>323</v>
      </c>
      <c r="F833" s="21">
        <v>37350</v>
      </c>
      <c r="G833" s="24" t="s">
        <v>309</v>
      </c>
      <c r="H833" t="s">
        <v>306</v>
      </c>
      <c r="I833" t="s">
        <v>200</v>
      </c>
      <c r="J833" t="s">
        <v>71</v>
      </c>
      <c r="K833" t="s">
        <v>75</v>
      </c>
      <c r="L833" t="s">
        <v>204</v>
      </c>
    </row>
    <row r="834" spans="1:12" hidden="1" x14ac:dyDescent="0.2">
      <c r="A834">
        <v>5</v>
      </c>
      <c r="B834" s="21">
        <v>45998</v>
      </c>
      <c r="C834" t="s">
        <v>318</v>
      </c>
      <c r="D834">
        <v>14</v>
      </c>
      <c r="E834" t="s">
        <v>323</v>
      </c>
      <c r="F834" s="21">
        <v>37350</v>
      </c>
      <c r="G834" s="24" t="s">
        <v>309</v>
      </c>
      <c r="H834" t="s">
        <v>294</v>
      </c>
      <c r="I834" t="s">
        <v>200</v>
      </c>
      <c r="J834" t="s">
        <v>71</v>
      </c>
      <c r="K834" t="s">
        <v>74</v>
      </c>
      <c r="L834" t="s">
        <v>203</v>
      </c>
    </row>
    <row r="835" spans="1:12" hidden="1" x14ac:dyDescent="0.2">
      <c r="A835">
        <v>5</v>
      </c>
      <c r="B835" s="21">
        <v>45998</v>
      </c>
      <c r="C835" t="s">
        <v>318</v>
      </c>
      <c r="D835">
        <v>14</v>
      </c>
      <c r="E835" t="s">
        <v>323</v>
      </c>
      <c r="F835" s="21">
        <v>37350</v>
      </c>
      <c r="G835" s="24" t="s">
        <v>309</v>
      </c>
      <c r="H835" t="s">
        <v>306</v>
      </c>
      <c r="I835" t="s">
        <v>199</v>
      </c>
      <c r="J835" t="s">
        <v>68</v>
      </c>
      <c r="K835" t="s">
        <v>75</v>
      </c>
      <c r="L835" t="s">
        <v>204</v>
      </c>
    </row>
    <row r="836" spans="1:12" hidden="1" x14ac:dyDescent="0.2">
      <c r="A836">
        <v>5</v>
      </c>
      <c r="B836" s="21">
        <v>45998</v>
      </c>
      <c r="C836" t="s">
        <v>318</v>
      </c>
      <c r="D836">
        <v>14</v>
      </c>
      <c r="E836" t="s">
        <v>323</v>
      </c>
      <c r="F836" s="21">
        <v>37350</v>
      </c>
      <c r="G836" s="24" t="s">
        <v>309</v>
      </c>
      <c r="H836" t="s">
        <v>278</v>
      </c>
      <c r="I836" t="s">
        <v>6</v>
      </c>
      <c r="J836" t="s">
        <v>64</v>
      </c>
      <c r="K836" t="s">
        <v>74</v>
      </c>
      <c r="L836" t="s">
        <v>203</v>
      </c>
    </row>
    <row r="837" spans="1:12" hidden="1" x14ac:dyDescent="0.2">
      <c r="A837">
        <v>5</v>
      </c>
      <c r="B837" s="21">
        <v>45998</v>
      </c>
      <c r="C837" t="s">
        <v>318</v>
      </c>
      <c r="D837">
        <v>14</v>
      </c>
      <c r="E837" t="s">
        <v>323</v>
      </c>
      <c r="F837" s="21">
        <v>37350</v>
      </c>
      <c r="G837" s="24" t="s">
        <v>309</v>
      </c>
      <c r="H837" t="s">
        <v>285</v>
      </c>
      <c r="I837" t="s">
        <v>6</v>
      </c>
      <c r="J837" t="s">
        <v>66</v>
      </c>
      <c r="K837" t="s">
        <v>72</v>
      </c>
      <c r="L837" t="s">
        <v>202</v>
      </c>
    </row>
    <row r="838" spans="1:12" hidden="1" x14ac:dyDescent="0.2">
      <c r="A838">
        <v>5</v>
      </c>
      <c r="B838" s="21">
        <v>45998</v>
      </c>
      <c r="C838" t="s">
        <v>318</v>
      </c>
      <c r="D838">
        <v>14</v>
      </c>
      <c r="E838" t="s">
        <v>323</v>
      </c>
      <c r="F838" s="21">
        <v>37350</v>
      </c>
      <c r="G838" s="24" t="s">
        <v>309</v>
      </c>
      <c r="H838" t="s">
        <v>278</v>
      </c>
      <c r="I838" t="s">
        <v>200</v>
      </c>
      <c r="J838" t="s">
        <v>71</v>
      </c>
      <c r="K838" t="s">
        <v>74</v>
      </c>
      <c r="L838" t="s">
        <v>203</v>
      </c>
    </row>
    <row r="839" spans="1:12" hidden="1" x14ac:dyDescent="0.2">
      <c r="A839">
        <v>5</v>
      </c>
      <c r="B839" s="21">
        <v>45998</v>
      </c>
      <c r="C839" t="s">
        <v>318</v>
      </c>
      <c r="D839">
        <v>14</v>
      </c>
      <c r="E839" t="s">
        <v>323</v>
      </c>
      <c r="F839" s="21">
        <v>37350</v>
      </c>
      <c r="G839" s="24" t="s">
        <v>309</v>
      </c>
      <c r="H839" t="s">
        <v>292</v>
      </c>
      <c r="I839" t="s">
        <v>311</v>
      </c>
      <c r="J839" t="s">
        <v>68</v>
      </c>
      <c r="K839" t="s">
        <v>74</v>
      </c>
      <c r="L839" t="s">
        <v>203</v>
      </c>
    </row>
    <row r="840" spans="1:12" hidden="1" x14ac:dyDescent="0.2">
      <c r="A840">
        <v>5</v>
      </c>
      <c r="B840" s="21">
        <v>45998</v>
      </c>
      <c r="C840" t="s">
        <v>318</v>
      </c>
      <c r="D840">
        <v>14</v>
      </c>
      <c r="E840" t="s">
        <v>323</v>
      </c>
      <c r="F840" s="21">
        <v>37350</v>
      </c>
      <c r="G840" s="24" t="s">
        <v>309</v>
      </c>
      <c r="H840" t="s">
        <v>306</v>
      </c>
      <c r="I840" t="s">
        <v>200</v>
      </c>
      <c r="J840" t="s">
        <v>68</v>
      </c>
      <c r="K840" t="s">
        <v>79</v>
      </c>
      <c r="L840" t="s">
        <v>204</v>
      </c>
    </row>
    <row r="841" spans="1:12" hidden="1" x14ac:dyDescent="0.2">
      <c r="A841">
        <v>5</v>
      </c>
      <c r="B841" s="21">
        <v>45998</v>
      </c>
      <c r="C841" t="s">
        <v>318</v>
      </c>
      <c r="D841">
        <v>14</v>
      </c>
      <c r="E841" t="s">
        <v>323</v>
      </c>
      <c r="F841" s="21">
        <v>37350</v>
      </c>
      <c r="G841" s="24" t="s">
        <v>309</v>
      </c>
      <c r="H841" t="s">
        <v>296</v>
      </c>
      <c r="I841" t="s">
        <v>200</v>
      </c>
      <c r="J841" t="s">
        <v>71</v>
      </c>
      <c r="K841" t="s">
        <v>79</v>
      </c>
      <c r="L841" t="s">
        <v>204</v>
      </c>
    </row>
    <row r="842" spans="1:12" hidden="1" x14ac:dyDescent="0.2">
      <c r="A842">
        <v>5</v>
      </c>
      <c r="B842" s="21">
        <v>45998</v>
      </c>
      <c r="C842" t="s">
        <v>318</v>
      </c>
      <c r="D842">
        <v>14</v>
      </c>
      <c r="E842" t="s">
        <v>323</v>
      </c>
      <c r="F842" s="21">
        <v>37350</v>
      </c>
      <c r="G842" s="24" t="s">
        <v>309</v>
      </c>
      <c r="H842" t="s">
        <v>278</v>
      </c>
      <c r="I842" t="s">
        <v>200</v>
      </c>
      <c r="J842" t="s">
        <v>68</v>
      </c>
      <c r="K842" t="s">
        <v>74</v>
      </c>
      <c r="L842" t="s">
        <v>203</v>
      </c>
    </row>
    <row r="843" spans="1:12" hidden="1" x14ac:dyDescent="0.2">
      <c r="A843">
        <v>5</v>
      </c>
      <c r="B843" s="21">
        <v>45998</v>
      </c>
      <c r="C843" t="s">
        <v>318</v>
      </c>
      <c r="D843">
        <v>14</v>
      </c>
      <c r="E843" t="s">
        <v>323</v>
      </c>
      <c r="F843" s="21">
        <v>37350</v>
      </c>
      <c r="G843" s="24" t="s">
        <v>309</v>
      </c>
      <c r="H843" t="s">
        <v>278</v>
      </c>
      <c r="I843" t="s">
        <v>261</v>
      </c>
      <c r="J843" t="s">
        <v>71</v>
      </c>
      <c r="K843" t="s">
        <v>70</v>
      </c>
      <c r="L843" t="s">
        <v>204</v>
      </c>
    </row>
    <row r="844" spans="1:12" hidden="1" x14ac:dyDescent="0.2">
      <c r="A844">
        <v>5</v>
      </c>
      <c r="B844" s="21">
        <v>45998</v>
      </c>
      <c r="C844" t="s">
        <v>318</v>
      </c>
      <c r="D844">
        <v>14</v>
      </c>
      <c r="E844" t="s">
        <v>323</v>
      </c>
      <c r="F844" s="21">
        <v>37350</v>
      </c>
      <c r="G844" s="24" t="s">
        <v>309</v>
      </c>
      <c r="H844" t="s">
        <v>296</v>
      </c>
      <c r="I844" t="s">
        <v>30</v>
      </c>
      <c r="J844" t="s">
        <v>71</v>
      </c>
      <c r="K844" t="s">
        <v>73</v>
      </c>
      <c r="L844" t="s">
        <v>203</v>
      </c>
    </row>
    <row r="845" spans="1:12" hidden="1" x14ac:dyDescent="0.2">
      <c r="A845">
        <v>5</v>
      </c>
      <c r="B845" s="21">
        <v>45998</v>
      </c>
      <c r="C845" t="s">
        <v>318</v>
      </c>
      <c r="D845">
        <v>14</v>
      </c>
      <c r="E845" t="s">
        <v>323</v>
      </c>
      <c r="F845" s="21">
        <v>37350</v>
      </c>
      <c r="G845" s="24" t="s">
        <v>309</v>
      </c>
      <c r="H845" t="s">
        <v>283</v>
      </c>
      <c r="I845" t="s">
        <v>14</v>
      </c>
      <c r="J845" t="s">
        <v>68</v>
      </c>
      <c r="K845" t="s">
        <v>69</v>
      </c>
      <c r="L845" t="s">
        <v>204</v>
      </c>
    </row>
    <row r="846" spans="1:12" hidden="1" x14ac:dyDescent="0.2">
      <c r="A846">
        <v>5</v>
      </c>
      <c r="B846" s="21">
        <v>45998</v>
      </c>
      <c r="C846" t="s">
        <v>318</v>
      </c>
      <c r="D846">
        <v>14</v>
      </c>
      <c r="E846" t="s">
        <v>323</v>
      </c>
      <c r="F846" s="21">
        <v>37350</v>
      </c>
      <c r="G846" s="24" t="s">
        <v>309</v>
      </c>
      <c r="H846" t="s">
        <v>306</v>
      </c>
      <c r="I846" t="s">
        <v>14</v>
      </c>
      <c r="J846" t="s">
        <v>80</v>
      </c>
      <c r="K846" t="s">
        <v>79</v>
      </c>
      <c r="L846" t="s">
        <v>204</v>
      </c>
    </row>
    <row r="847" spans="1:12" hidden="1" x14ac:dyDescent="0.2">
      <c r="A847">
        <v>5</v>
      </c>
      <c r="B847" s="21">
        <v>45998</v>
      </c>
      <c r="C847" t="s">
        <v>318</v>
      </c>
      <c r="D847">
        <v>14</v>
      </c>
      <c r="E847" t="s">
        <v>323</v>
      </c>
      <c r="F847" s="21">
        <v>37350</v>
      </c>
      <c r="G847" s="24" t="s">
        <v>309</v>
      </c>
      <c r="H847" t="s">
        <v>283</v>
      </c>
      <c r="I847" t="s">
        <v>9</v>
      </c>
      <c r="J847" t="s">
        <v>66</v>
      </c>
      <c r="K847" t="s">
        <v>70</v>
      </c>
      <c r="L847" t="s">
        <v>204</v>
      </c>
    </row>
    <row r="848" spans="1:12" hidden="1" x14ac:dyDescent="0.2">
      <c r="A848">
        <v>5</v>
      </c>
      <c r="B848" s="21">
        <v>45998</v>
      </c>
      <c r="C848" t="s">
        <v>318</v>
      </c>
      <c r="D848">
        <v>14</v>
      </c>
      <c r="E848" t="s">
        <v>323</v>
      </c>
      <c r="F848" s="21">
        <v>37350</v>
      </c>
      <c r="G848" s="24" t="s">
        <v>309</v>
      </c>
      <c r="H848" t="s">
        <v>294</v>
      </c>
      <c r="I848" t="s">
        <v>200</v>
      </c>
      <c r="J848" t="s">
        <v>71</v>
      </c>
      <c r="K848" t="s">
        <v>74</v>
      </c>
      <c r="L848" t="s">
        <v>203</v>
      </c>
    </row>
    <row r="849" spans="1:12" hidden="1" x14ac:dyDescent="0.2">
      <c r="A849">
        <v>5</v>
      </c>
      <c r="B849" s="21">
        <v>45998</v>
      </c>
      <c r="C849" t="s">
        <v>318</v>
      </c>
      <c r="D849">
        <v>14</v>
      </c>
      <c r="E849" t="s">
        <v>323</v>
      </c>
      <c r="F849" s="21">
        <v>37350</v>
      </c>
      <c r="G849" s="24" t="s">
        <v>309</v>
      </c>
      <c r="H849" t="s">
        <v>292</v>
      </c>
      <c r="I849" t="s">
        <v>200</v>
      </c>
      <c r="J849" t="s">
        <v>71</v>
      </c>
      <c r="K849" t="s">
        <v>75</v>
      </c>
      <c r="L849" t="s">
        <v>204</v>
      </c>
    </row>
    <row r="850" spans="1:12" hidden="1" x14ac:dyDescent="0.2">
      <c r="A850">
        <v>5</v>
      </c>
      <c r="B850" s="21">
        <v>45998</v>
      </c>
      <c r="C850" t="s">
        <v>318</v>
      </c>
      <c r="D850">
        <v>14</v>
      </c>
      <c r="E850" t="s">
        <v>323</v>
      </c>
      <c r="F850" s="21">
        <v>37350</v>
      </c>
      <c r="G850" s="24" t="s">
        <v>309</v>
      </c>
      <c r="H850" t="s">
        <v>292</v>
      </c>
      <c r="I850" t="s">
        <v>311</v>
      </c>
      <c r="J850" t="s">
        <v>71</v>
      </c>
      <c r="K850" t="s">
        <v>75</v>
      </c>
      <c r="L850" t="s">
        <v>204</v>
      </c>
    </row>
    <row r="851" spans="1:12" hidden="1" x14ac:dyDescent="0.2">
      <c r="A851">
        <v>5</v>
      </c>
      <c r="B851" s="21">
        <v>45998</v>
      </c>
      <c r="C851" t="s">
        <v>318</v>
      </c>
      <c r="D851">
        <v>14</v>
      </c>
      <c r="E851" t="s">
        <v>323</v>
      </c>
      <c r="F851" s="21">
        <v>37350</v>
      </c>
      <c r="G851" s="24" t="s">
        <v>309</v>
      </c>
      <c r="H851" t="s">
        <v>306</v>
      </c>
      <c r="I851" t="s">
        <v>311</v>
      </c>
      <c r="J851" t="s">
        <v>71</v>
      </c>
      <c r="K851" t="s">
        <v>75</v>
      </c>
      <c r="L851" t="s">
        <v>204</v>
      </c>
    </row>
    <row r="852" spans="1:12" hidden="1" x14ac:dyDescent="0.2">
      <c r="A852">
        <v>5</v>
      </c>
      <c r="B852" s="21">
        <v>45998</v>
      </c>
      <c r="C852" t="s">
        <v>318</v>
      </c>
      <c r="D852">
        <v>14</v>
      </c>
      <c r="E852" t="s">
        <v>323</v>
      </c>
      <c r="F852" s="21">
        <v>37350</v>
      </c>
      <c r="G852" s="24" t="s">
        <v>309</v>
      </c>
      <c r="H852" t="s">
        <v>292</v>
      </c>
      <c r="I852" t="s">
        <v>311</v>
      </c>
      <c r="J852" t="s">
        <v>71</v>
      </c>
      <c r="K852" t="s">
        <v>75</v>
      </c>
      <c r="L852" t="s">
        <v>204</v>
      </c>
    </row>
    <row r="853" spans="1:12" hidden="1" x14ac:dyDescent="0.2">
      <c r="A853">
        <v>5</v>
      </c>
      <c r="B853" s="21">
        <v>45998</v>
      </c>
      <c r="C853" t="s">
        <v>318</v>
      </c>
      <c r="D853">
        <v>14</v>
      </c>
      <c r="E853" t="s">
        <v>323</v>
      </c>
      <c r="F853" s="21">
        <v>37350</v>
      </c>
      <c r="G853" s="24" t="s">
        <v>309</v>
      </c>
      <c r="H853" t="s">
        <v>294</v>
      </c>
      <c r="I853" t="s">
        <v>14</v>
      </c>
      <c r="J853" t="s">
        <v>80</v>
      </c>
      <c r="K853" t="s">
        <v>67</v>
      </c>
      <c r="L853" t="s">
        <v>202</v>
      </c>
    </row>
    <row r="854" spans="1:12" hidden="1" x14ac:dyDescent="0.2">
      <c r="A854">
        <v>5</v>
      </c>
      <c r="B854" s="21">
        <v>45998</v>
      </c>
      <c r="C854" t="s">
        <v>318</v>
      </c>
      <c r="D854">
        <v>14</v>
      </c>
      <c r="E854" t="s">
        <v>323</v>
      </c>
      <c r="F854" s="21">
        <v>37350</v>
      </c>
      <c r="G854" s="24" t="s">
        <v>309</v>
      </c>
      <c r="H854" t="s">
        <v>306</v>
      </c>
      <c r="I854" t="s">
        <v>199</v>
      </c>
      <c r="J854" t="s">
        <v>68</v>
      </c>
      <c r="K854" t="s">
        <v>75</v>
      </c>
      <c r="L854" t="s">
        <v>204</v>
      </c>
    </row>
    <row r="855" spans="1:12" hidden="1" x14ac:dyDescent="0.2">
      <c r="A855">
        <v>5</v>
      </c>
      <c r="B855" s="21">
        <v>45998</v>
      </c>
      <c r="C855" t="s">
        <v>318</v>
      </c>
      <c r="D855">
        <v>14</v>
      </c>
      <c r="E855" t="s">
        <v>323</v>
      </c>
      <c r="F855" s="21">
        <v>37350</v>
      </c>
      <c r="G855" s="24" t="s">
        <v>309</v>
      </c>
      <c r="H855" t="s">
        <v>306</v>
      </c>
      <c r="I855" t="s">
        <v>200</v>
      </c>
      <c r="J855" t="s">
        <v>68</v>
      </c>
      <c r="K855" t="s">
        <v>75</v>
      </c>
      <c r="L855" t="s">
        <v>204</v>
      </c>
    </row>
    <row r="856" spans="1:12" hidden="1" x14ac:dyDescent="0.2">
      <c r="A856">
        <v>5</v>
      </c>
      <c r="B856" s="21">
        <v>45998</v>
      </c>
      <c r="C856" t="s">
        <v>318</v>
      </c>
      <c r="D856">
        <v>14</v>
      </c>
      <c r="E856" t="s">
        <v>323</v>
      </c>
      <c r="F856" s="21">
        <v>37350</v>
      </c>
      <c r="G856" s="24" t="s">
        <v>309</v>
      </c>
      <c r="H856" t="s">
        <v>294</v>
      </c>
      <c r="I856" t="s">
        <v>205</v>
      </c>
      <c r="J856" t="s">
        <v>66</v>
      </c>
      <c r="K856" t="s">
        <v>73</v>
      </c>
      <c r="L856" t="s">
        <v>203</v>
      </c>
    </row>
    <row r="857" spans="1:12" hidden="1" x14ac:dyDescent="0.2">
      <c r="A857">
        <v>5</v>
      </c>
      <c r="B857" s="21">
        <v>45998</v>
      </c>
      <c r="C857" t="s">
        <v>318</v>
      </c>
      <c r="D857">
        <v>14</v>
      </c>
      <c r="E857" t="s">
        <v>323</v>
      </c>
      <c r="F857" s="21">
        <v>37350</v>
      </c>
      <c r="G857" s="24" t="s">
        <v>309</v>
      </c>
      <c r="H857" t="s">
        <v>306</v>
      </c>
      <c r="I857" t="s">
        <v>21</v>
      </c>
      <c r="J857" t="s">
        <v>66</v>
      </c>
      <c r="K857" t="s">
        <v>79</v>
      </c>
      <c r="L857" t="s">
        <v>204</v>
      </c>
    </row>
    <row r="858" spans="1:12" hidden="1" x14ac:dyDescent="0.2">
      <c r="A858">
        <v>5</v>
      </c>
      <c r="B858" s="21">
        <v>45998</v>
      </c>
      <c r="C858" t="s">
        <v>318</v>
      </c>
      <c r="D858">
        <v>14</v>
      </c>
      <c r="E858" t="s">
        <v>323</v>
      </c>
      <c r="F858" s="21">
        <v>37350</v>
      </c>
      <c r="G858" s="24" t="s">
        <v>309</v>
      </c>
      <c r="H858" t="s">
        <v>306</v>
      </c>
      <c r="I858" t="s">
        <v>30</v>
      </c>
      <c r="J858" t="s">
        <v>66</v>
      </c>
      <c r="K858" t="s">
        <v>79</v>
      </c>
      <c r="L858" t="s">
        <v>204</v>
      </c>
    </row>
    <row r="859" spans="1:12" hidden="1" x14ac:dyDescent="0.2">
      <c r="A859">
        <v>5</v>
      </c>
      <c r="B859" s="21">
        <v>45998</v>
      </c>
      <c r="C859" t="s">
        <v>318</v>
      </c>
      <c r="D859">
        <v>14</v>
      </c>
      <c r="E859" t="s">
        <v>323</v>
      </c>
      <c r="F859" s="21">
        <v>37350</v>
      </c>
      <c r="G859" s="24" t="s">
        <v>309</v>
      </c>
      <c r="H859" t="s">
        <v>292</v>
      </c>
      <c r="I859" t="s">
        <v>34</v>
      </c>
      <c r="J859" t="s">
        <v>71</v>
      </c>
      <c r="K859" t="s">
        <v>70</v>
      </c>
      <c r="L859" t="s">
        <v>204</v>
      </c>
    </row>
    <row r="860" spans="1:12" hidden="1" x14ac:dyDescent="0.2">
      <c r="A860">
        <v>5</v>
      </c>
      <c r="B860" s="21">
        <v>45998</v>
      </c>
      <c r="C860" t="s">
        <v>318</v>
      </c>
      <c r="D860">
        <v>14</v>
      </c>
      <c r="E860" t="s">
        <v>323</v>
      </c>
      <c r="F860" s="21">
        <v>37350</v>
      </c>
      <c r="G860" s="24" t="s">
        <v>309</v>
      </c>
      <c r="H860" t="s">
        <v>296</v>
      </c>
      <c r="I860" t="s">
        <v>200</v>
      </c>
      <c r="J860" t="s">
        <v>71</v>
      </c>
      <c r="K860" t="s">
        <v>74</v>
      </c>
      <c r="L860" t="s">
        <v>203</v>
      </c>
    </row>
    <row r="861" spans="1:12" hidden="1" x14ac:dyDescent="0.2">
      <c r="A861">
        <v>5</v>
      </c>
      <c r="B861" s="21">
        <v>45998</v>
      </c>
      <c r="C861" t="s">
        <v>318</v>
      </c>
      <c r="D861">
        <v>14</v>
      </c>
      <c r="E861" t="s">
        <v>323</v>
      </c>
      <c r="F861" s="21">
        <v>37350</v>
      </c>
      <c r="G861" s="24" t="s">
        <v>309</v>
      </c>
      <c r="H861" t="s">
        <v>296</v>
      </c>
      <c r="I861" t="s">
        <v>38</v>
      </c>
      <c r="J861" t="s">
        <v>66</v>
      </c>
      <c r="K861" t="s">
        <v>74</v>
      </c>
      <c r="L861" t="s">
        <v>203</v>
      </c>
    </row>
    <row r="862" spans="1:12" hidden="1" x14ac:dyDescent="0.2">
      <c r="A862">
        <v>5</v>
      </c>
      <c r="B862" s="21">
        <v>45998</v>
      </c>
      <c r="C862" t="s">
        <v>318</v>
      </c>
      <c r="D862">
        <v>14</v>
      </c>
      <c r="E862" t="s">
        <v>323</v>
      </c>
      <c r="F862" s="21">
        <v>37350</v>
      </c>
      <c r="G862" s="24" t="s">
        <v>309</v>
      </c>
      <c r="H862" t="s">
        <v>292</v>
      </c>
      <c r="I862" t="s">
        <v>311</v>
      </c>
      <c r="J862" t="s">
        <v>68</v>
      </c>
      <c r="K862" t="s">
        <v>73</v>
      </c>
      <c r="L862" t="s">
        <v>203</v>
      </c>
    </row>
    <row r="863" spans="1:12" hidden="1" x14ac:dyDescent="0.2">
      <c r="A863">
        <v>5</v>
      </c>
      <c r="B863" s="21">
        <v>45998</v>
      </c>
      <c r="C863" t="s">
        <v>318</v>
      </c>
      <c r="D863">
        <v>14</v>
      </c>
      <c r="E863" t="s">
        <v>323</v>
      </c>
      <c r="F863" s="21">
        <v>37350</v>
      </c>
      <c r="G863" s="24" t="s">
        <v>309</v>
      </c>
      <c r="H863" t="s">
        <v>295</v>
      </c>
      <c r="I863" t="s">
        <v>200</v>
      </c>
      <c r="J863" t="s">
        <v>71</v>
      </c>
      <c r="K863" t="s">
        <v>72</v>
      </c>
      <c r="L863" t="s">
        <v>202</v>
      </c>
    </row>
    <row r="864" spans="1:12" hidden="1" x14ac:dyDescent="0.2">
      <c r="A864">
        <v>5</v>
      </c>
      <c r="B864" s="21">
        <v>45998</v>
      </c>
      <c r="C864" t="s">
        <v>318</v>
      </c>
      <c r="D864">
        <v>14</v>
      </c>
      <c r="E864" t="s">
        <v>323</v>
      </c>
      <c r="F864" s="21">
        <v>37350</v>
      </c>
      <c r="G864" s="24" t="s">
        <v>309</v>
      </c>
      <c r="H864" t="s">
        <v>283</v>
      </c>
      <c r="I864" t="s">
        <v>30</v>
      </c>
      <c r="J864" t="s">
        <v>71</v>
      </c>
      <c r="K864" t="s">
        <v>67</v>
      </c>
      <c r="L864" t="s">
        <v>202</v>
      </c>
    </row>
    <row r="865" spans="1:12" hidden="1" x14ac:dyDescent="0.2">
      <c r="A865">
        <v>5</v>
      </c>
      <c r="B865" s="21">
        <v>45998</v>
      </c>
      <c r="C865" t="s">
        <v>318</v>
      </c>
      <c r="D865">
        <v>14</v>
      </c>
      <c r="E865" t="s">
        <v>323</v>
      </c>
      <c r="F865" s="21">
        <v>37350</v>
      </c>
      <c r="G865" s="24" t="s">
        <v>309</v>
      </c>
      <c r="H865" t="s">
        <v>293</v>
      </c>
      <c r="I865" t="s">
        <v>6</v>
      </c>
      <c r="J865" t="s">
        <v>66</v>
      </c>
      <c r="K865" t="s">
        <v>73</v>
      </c>
      <c r="L865" t="s">
        <v>203</v>
      </c>
    </row>
    <row r="866" spans="1:12" hidden="1" x14ac:dyDescent="0.2">
      <c r="A866">
        <v>5</v>
      </c>
      <c r="B866" s="21">
        <v>45998</v>
      </c>
      <c r="C866" t="s">
        <v>318</v>
      </c>
      <c r="D866">
        <v>14</v>
      </c>
      <c r="E866" t="s">
        <v>323</v>
      </c>
      <c r="F866" s="21">
        <v>37350</v>
      </c>
      <c r="G866" s="24" t="s">
        <v>309</v>
      </c>
      <c r="H866" t="s">
        <v>296</v>
      </c>
      <c r="I866" t="s">
        <v>12</v>
      </c>
      <c r="J866" t="s">
        <v>66</v>
      </c>
      <c r="K866" t="s">
        <v>79</v>
      </c>
      <c r="L866" t="s">
        <v>204</v>
      </c>
    </row>
    <row r="867" spans="1:12" hidden="1" x14ac:dyDescent="0.2">
      <c r="A867">
        <v>5</v>
      </c>
      <c r="B867" s="21">
        <v>45998</v>
      </c>
      <c r="C867" t="s">
        <v>318</v>
      </c>
      <c r="D867">
        <v>14</v>
      </c>
      <c r="E867" t="s">
        <v>323</v>
      </c>
      <c r="F867" s="21">
        <v>37350</v>
      </c>
      <c r="G867" s="24" t="s">
        <v>309</v>
      </c>
      <c r="H867" t="s">
        <v>292</v>
      </c>
      <c r="I867" t="s">
        <v>9</v>
      </c>
      <c r="J867" t="s">
        <v>64</v>
      </c>
      <c r="K867" t="s">
        <v>75</v>
      </c>
      <c r="L867" t="s">
        <v>204</v>
      </c>
    </row>
    <row r="868" spans="1:12" hidden="1" x14ac:dyDescent="0.2">
      <c r="A868">
        <v>5</v>
      </c>
      <c r="B868" s="21">
        <v>45998</v>
      </c>
      <c r="C868" t="s">
        <v>318</v>
      </c>
      <c r="D868">
        <v>14</v>
      </c>
      <c r="E868" t="s">
        <v>323</v>
      </c>
      <c r="F868" s="21">
        <v>37350</v>
      </c>
      <c r="G868" s="24" t="s">
        <v>309</v>
      </c>
      <c r="H868" t="s">
        <v>292</v>
      </c>
      <c r="I868" t="s">
        <v>199</v>
      </c>
      <c r="J868" t="s">
        <v>68</v>
      </c>
      <c r="K868" t="s">
        <v>75</v>
      </c>
      <c r="L868" t="s">
        <v>204</v>
      </c>
    </row>
    <row r="869" spans="1:12" hidden="1" x14ac:dyDescent="0.2">
      <c r="A869">
        <v>5</v>
      </c>
      <c r="B869" s="21">
        <v>45998</v>
      </c>
      <c r="C869" t="s">
        <v>318</v>
      </c>
      <c r="D869">
        <v>14</v>
      </c>
      <c r="E869" t="s">
        <v>323</v>
      </c>
      <c r="F869" s="21">
        <v>37350</v>
      </c>
      <c r="G869" s="24" t="s">
        <v>309</v>
      </c>
      <c r="H869" t="s">
        <v>290</v>
      </c>
      <c r="I869" t="s">
        <v>199</v>
      </c>
      <c r="J869" t="s">
        <v>71</v>
      </c>
      <c r="K869" t="s">
        <v>74</v>
      </c>
      <c r="L869" t="s">
        <v>203</v>
      </c>
    </row>
    <row r="870" spans="1:12" hidden="1" x14ac:dyDescent="0.2">
      <c r="A870">
        <v>5</v>
      </c>
      <c r="B870" s="21">
        <v>45998</v>
      </c>
      <c r="C870" t="s">
        <v>318</v>
      </c>
      <c r="D870">
        <v>14</v>
      </c>
      <c r="E870" t="s">
        <v>323</v>
      </c>
      <c r="F870" s="21">
        <v>37350</v>
      </c>
      <c r="G870" s="24" t="s">
        <v>314</v>
      </c>
      <c r="H870" t="s">
        <v>296</v>
      </c>
      <c r="I870" t="s">
        <v>6</v>
      </c>
      <c r="J870" t="s">
        <v>66</v>
      </c>
      <c r="K870" t="s">
        <v>79</v>
      </c>
      <c r="L870" t="s">
        <v>204</v>
      </c>
    </row>
    <row r="871" spans="1:12" hidden="1" x14ac:dyDescent="0.2">
      <c r="A871">
        <v>5</v>
      </c>
      <c r="B871" s="21">
        <v>45998</v>
      </c>
      <c r="C871" t="s">
        <v>318</v>
      </c>
      <c r="D871">
        <v>14</v>
      </c>
      <c r="E871" t="s">
        <v>323</v>
      </c>
      <c r="F871" s="21">
        <v>37350</v>
      </c>
      <c r="G871" s="24" t="s">
        <v>314</v>
      </c>
      <c r="H871" t="s">
        <v>296</v>
      </c>
      <c r="I871" t="s">
        <v>311</v>
      </c>
      <c r="J871" t="s">
        <v>71</v>
      </c>
      <c r="K871" t="s">
        <v>73</v>
      </c>
      <c r="L871" t="s">
        <v>203</v>
      </c>
    </row>
    <row r="872" spans="1:12" hidden="1" x14ac:dyDescent="0.2">
      <c r="A872">
        <v>5</v>
      </c>
      <c r="B872" s="21">
        <v>45998</v>
      </c>
      <c r="C872" t="s">
        <v>318</v>
      </c>
      <c r="D872">
        <v>14</v>
      </c>
      <c r="E872" t="s">
        <v>323</v>
      </c>
      <c r="F872" s="21">
        <v>37350</v>
      </c>
      <c r="G872" s="24" t="s">
        <v>314</v>
      </c>
      <c r="H872" t="s">
        <v>285</v>
      </c>
      <c r="I872" t="s">
        <v>311</v>
      </c>
      <c r="J872" t="s">
        <v>71</v>
      </c>
      <c r="K872" t="s">
        <v>69</v>
      </c>
      <c r="L872" t="s">
        <v>204</v>
      </c>
    </row>
    <row r="873" spans="1:12" hidden="1" x14ac:dyDescent="0.2">
      <c r="A873">
        <v>5</v>
      </c>
      <c r="B873" s="21">
        <v>45998</v>
      </c>
      <c r="C873" t="s">
        <v>318</v>
      </c>
      <c r="D873">
        <v>14</v>
      </c>
      <c r="E873" t="s">
        <v>323</v>
      </c>
      <c r="F873" s="21">
        <v>37350</v>
      </c>
      <c r="G873" s="24" t="s">
        <v>314</v>
      </c>
      <c r="H873" t="s">
        <v>285</v>
      </c>
      <c r="I873" t="s">
        <v>14</v>
      </c>
      <c r="J873" t="s">
        <v>64</v>
      </c>
      <c r="K873" t="s">
        <v>69</v>
      </c>
      <c r="L873" t="s">
        <v>204</v>
      </c>
    </row>
    <row r="874" spans="1:12" hidden="1" x14ac:dyDescent="0.2">
      <c r="A874">
        <v>5</v>
      </c>
      <c r="B874" s="21">
        <v>45998</v>
      </c>
      <c r="C874" t="s">
        <v>318</v>
      </c>
      <c r="D874">
        <v>14</v>
      </c>
      <c r="E874" t="s">
        <v>323</v>
      </c>
      <c r="F874" s="21">
        <v>37350</v>
      </c>
      <c r="G874" s="24" t="s">
        <v>314</v>
      </c>
      <c r="H874" t="s">
        <v>292</v>
      </c>
      <c r="I874" t="s">
        <v>199</v>
      </c>
      <c r="J874" t="s">
        <v>71</v>
      </c>
      <c r="K874" t="s">
        <v>70</v>
      </c>
      <c r="L874" t="s">
        <v>204</v>
      </c>
    </row>
    <row r="875" spans="1:12" hidden="1" x14ac:dyDescent="0.2">
      <c r="A875">
        <v>5</v>
      </c>
      <c r="B875" s="21">
        <v>45998</v>
      </c>
      <c r="C875" t="s">
        <v>318</v>
      </c>
      <c r="D875">
        <v>14</v>
      </c>
      <c r="E875" t="s">
        <v>323</v>
      </c>
      <c r="F875" s="21">
        <v>37350</v>
      </c>
      <c r="G875" s="24" t="s">
        <v>314</v>
      </c>
      <c r="H875" t="s">
        <v>292</v>
      </c>
      <c r="I875" t="s">
        <v>23</v>
      </c>
      <c r="J875" t="s">
        <v>66</v>
      </c>
      <c r="K875" t="s">
        <v>70</v>
      </c>
      <c r="L875" t="s">
        <v>204</v>
      </c>
    </row>
    <row r="876" spans="1:12" hidden="1" x14ac:dyDescent="0.2">
      <c r="A876">
        <v>5</v>
      </c>
      <c r="B876" s="21">
        <v>45998</v>
      </c>
      <c r="C876" t="s">
        <v>318</v>
      </c>
      <c r="D876">
        <v>14</v>
      </c>
      <c r="E876" t="s">
        <v>323</v>
      </c>
      <c r="F876" s="21">
        <v>37350</v>
      </c>
      <c r="G876" s="24" t="s">
        <v>314</v>
      </c>
      <c r="H876" t="s">
        <v>294</v>
      </c>
      <c r="I876" t="s">
        <v>205</v>
      </c>
      <c r="J876" t="s">
        <v>66</v>
      </c>
      <c r="K876" t="s">
        <v>74</v>
      </c>
      <c r="L876" t="s">
        <v>203</v>
      </c>
    </row>
    <row r="877" spans="1:12" hidden="1" x14ac:dyDescent="0.2">
      <c r="A877">
        <v>5</v>
      </c>
      <c r="B877" s="21">
        <v>45998</v>
      </c>
      <c r="C877" t="s">
        <v>318</v>
      </c>
      <c r="D877">
        <v>14</v>
      </c>
      <c r="E877" t="s">
        <v>323</v>
      </c>
      <c r="F877" s="21">
        <v>37350</v>
      </c>
      <c r="G877" s="24" t="s">
        <v>314</v>
      </c>
      <c r="H877" t="s">
        <v>296</v>
      </c>
      <c r="I877" t="s">
        <v>311</v>
      </c>
      <c r="J877" t="s">
        <v>66</v>
      </c>
      <c r="K877" t="s">
        <v>75</v>
      </c>
      <c r="L877" t="s">
        <v>204</v>
      </c>
    </row>
    <row r="878" spans="1:12" hidden="1" x14ac:dyDescent="0.2">
      <c r="A878">
        <v>5</v>
      </c>
      <c r="B878" s="21">
        <v>45998</v>
      </c>
      <c r="C878" t="s">
        <v>318</v>
      </c>
      <c r="D878">
        <v>14</v>
      </c>
      <c r="E878" t="s">
        <v>323</v>
      </c>
      <c r="F878" s="21">
        <v>37350</v>
      </c>
      <c r="G878" s="24" t="s">
        <v>314</v>
      </c>
      <c r="H878" t="s">
        <v>296</v>
      </c>
      <c r="I878" t="s">
        <v>14</v>
      </c>
      <c r="J878" t="s">
        <v>80</v>
      </c>
      <c r="K878" t="s">
        <v>75</v>
      </c>
      <c r="L878" t="s">
        <v>204</v>
      </c>
    </row>
    <row r="879" spans="1:12" hidden="1" x14ac:dyDescent="0.2">
      <c r="A879">
        <v>5</v>
      </c>
      <c r="B879" s="21">
        <v>45998</v>
      </c>
      <c r="C879" t="s">
        <v>318</v>
      </c>
      <c r="D879">
        <v>14</v>
      </c>
      <c r="E879" t="s">
        <v>323</v>
      </c>
      <c r="F879" s="21">
        <v>37350</v>
      </c>
      <c r="G879" s="24" t="s">
        <v>314</v>
      </c>
      <c r="H879" t="s">
        <v>296</v>
      </c>
      <c r="I879" t="s">
        <v>261</v>
      </c>
      <c r="J879" t="s">
        <v>64</v>
      </c>
      <c r="K879" t="s">
        <v>79</v>
      </c>
      <c r="L879" t="s">
        <v>204</v>
      </c>
    </row>
    <row r="880" spans="1:12" hidden="1" x14ac:dyDescent="0.2">
      <c r="A880">
        <v>5</v>
      </c>
      <c r="B880" s="21">
        <v>45998</v>
      </c>
      <c r="C880" t="s">
        <v>318</v>
      </c>
      <c r="D880">
        <v>14</v>
      </c>
      <c r="E880" t="s">
        <v>323</v>
      </c>
      <c r="F880" s="21">
        <v>37350</v>
      </c>
      <c r="G880" s="24" t="s">
        <v>314</v>
      </c>
      <c r="H880" t="s">
        <v>292</v>
      </c>
      <c r="I880" t="s">
        <v>205</v>
      </c>
      <c r="J880" t="s">
        <v>66</v>
      </c>
      <c r="K880" t="s">
        <v>73</v>
      </c>
      <c r="L880" t="s">
        <v>203</v>
      </c>
    </row>
    <row r="881" spans="1:12" hidden="1" x14ac:dyDescent="0.2">
      <c r="A881">
        <v>5</v>
      </c>
      <c r="B881" s="21">
        <v>45998</v>
      </c>
      <c r="C881" t="s">
        <v>318</v>
      </c>
      <c r="D881">
        <v>14</v>
      </c>
      <c r="E881" t="s">
        <v>323</v>
      </c>
      <c r="F881" s="21">
        <v>37350</v>
      </c>
      <c r="G881" s="24" t="s">
        <v>314</v>
      </c>
      <c r="H881" t="s">
        <v>296</v>
      </c>
      <c r="I881" t="s">
        <v>40</v>
      </c>
      <c r="J881" t="s">
        <v>66</v>
      </c>
      <c r="K881" t="s">
        <v>73</v>
      </c>
      <c r="L881" t="s">
        <v>203</v>
      </c>
    </row>
    <row r="882" spans="1:12" hidden="1" x14ac:dyDescent="0.2">
      <c r="A882">
        <v>5</v>
      </c>
      <c r="B882" s="21">
        <v>45998</v>
      </c>
      <c r="C882" t="s">
        <v>318</v>
      </c>
      <c r="D882">
        <v>14</v>
      </c>
      <c r="E882" t="s">
        <v>323</v>
      </c>
      <c r="F882" s="21">
        <v>37350</v>
      </c>
      <c r="G882" s="24" t="s">
        <v>314</v>
      </c>
      <c r="H882" t="s">
        <v>292</v>
      </c>
      <c r="I882" t="s">
        <v>6</v>
      </c>
      <c r="J882" t="s">
        <v>66</v>
      </c>
      <c r="K882" t="s">
        <v>73</v>
      </c>
      <c r="L882" t="s">
        <v>203</v>
      </c>
    </row>
    <row r="883" spans="1:12" hidden="1" x14ac:dyDescent="0.2">
      <c r="A883">
        <v>5</v>
      </c>
      <c r="B883" s="21">
        <v>45998</v>
      </c>
      <c r="C883" t="s">
        <v>318</v>
      </c>
      <c r="D883">
        <v>14</v>
      </c>
      <c r="E883" t="s">
        <v>323</v>
      </c>
      <c r="F883" s="21">
        <v>37350</v>
      </c>
      <c r="G883" s="24" t="s">
        <v>314</v>
      </c>
      <c r="H883" t="s">
        <v>290</v>
      </c>
      <c r="I883" t="s">
        <v>200</v>
      </c>
      <c r="J883" t="s">
        <v>68</v>
      </c>
      <c r="K883" t="s">
        <v>78</v>
      </c>
      <c r="L883" t="s">
        <v>204</v>
      </c>
    </row>
    <row r="884" spans="1:12" hidden="1" x14ac:dyDescent="0.2">
      <c r="A884">
        <v>5</v>
      </c>
      <c r="B884" s="21">
        <v>45998</v>
      </c>
      <c r="C884" t="s">
        <v>318</v>
      </c>
      <c r="D884">
        <v>14</v>
      </c>
      <c r="E884" t="s">
        <v>323</v>
      </c>
      <c r="F884" s="21">
        <v>37350</v>
      </c>
      <c r="G884" s="24" t="s">
        <v>314</v>
      </c>
      <c r="H884" t="s">
        <v>278</v>
      </c>
      <c r="I884" t="s">
        <v>200</v>
      </c>
      <c r="J884" t="s">
        <v>71</v>
      </c>
      <c r="K884" t="s">
        <v>74</v>
      </c>
      <c r="L884" t="s">
        <v>203</v>
      </c>
    </row>
    <row r="885" spans="1:12" hidden="1" x14ac:dyDescent="0.2">
      <c r="A885">
        <v>5</v>
      </c>
      <c r="B885" s="21">
        <v>45998</v>
      </c>
      <c r="C885" t="s">
        <v>318</v>
      </c>
      <c r="D885">
        <v>14</v>
      </c>
      <c r="E885" t="s">
        <v>323</v>
      </c>
      <c r="F885" s="21">
        <v>37350</v>
      </c>
      <c r="G885" s="24" t="s">
        <v>314</v>
      </c>
      <c r="H885" t="s">
        <v>296</v>
      </c>
      <c r="I885" t="s">
        <v>199</v>
      </c>
      <c r="J885" t="s">
        <v>71</v>
      </c>
      <c r="K885" t="s">
        <v>79</v>
      </c>
      <c r="L885" t="s">
        <v>204</v>
      </c>
    </row>
    <row r="886" spans="1:12" hidden="1" x14ac:dyDescent="0.2">
      <c r="A886">
        <v>5</v>
      </c>
      <c r="B886" s="21">
        <v>45998</v>
      </c>
      <c r="C886" t="s">
        <v>318</v>
      </c>
      <c r="D886">
        <v>14</v>
      </c>
      <c r="E886" t="s">
        <v>323</v>
      </c>
      <c r="F886" s="21">
        <v>37350</v>
      </c>
      <c r="G886" s="24" t="s">
        <v>314</v>
      </c>
      <c r="H886" t="s">
        <v>296</v>
      </c>
      <c r="I886" t="s">
        <v>261</v>
      </c>
      <c r="J886" t="s">
        <v>64</v>
      </c>
      <c r="K886" t="s">
        <v>72</v>
      </c>
      <c r="L886" t="s">
        <v>202</v>
      </c>
    </row>
    <row r="887" spans="1:12" hidden="1" x14ac:dyDescent="0.2">
      <c r="A887">
        <v>5</v>
      </c>
      <c r="B887" s="21">
        <v>45998</v>
      </c>
      <c r="C887" t="s">
        <v>318</v>
      </c>
      <c r="D887">
        <v>14</v>
      </c>
      <c r="E887" t="s">
        <v>323</v>
      </c>
      <c r="F887" s="21">
        <v>37350</v>
      </c>
      <c r="G887" s="24" t="s">
        <v>314</v>
      </c>
      <c r="H887" t="s">
        <v>296</v>
      </c>
      <c r="I887" t="s">
        <v>30</v>
      </c>
      <c r="J887" t="s">
        <v>66</v>
      </c>
      <c r="K887" t="s">
        <v>79</v>
      </c>
      <c r="L887" t="s">
        <v>204</v>
      </c>
    </row>
    <row r="888" spans="1:12" hidden="1" x14ac:dyDescent="0.2">
      <c r="A888">
        <v>5</v>
      </c>
      <c r="B888" s="21">
        <v>45998</v>
      </c>
      <c r="C888" t="s">
        <v>318</v>
      </c>
      <c r="D888">
        <v>14</v>
      </c>
      <c r="E888" t="s">
        <v>323</v>
      </c>
      <c r="F888" s="21">
        <v>37350</v>
      </c>
      <c r="G888" s="24" t="s">
        <v>314</v>
      </c>
      <c r="H888" t="s">
        <v>296</v>
      </c>
      <c r="I888" t="s">
        <v>30</v>
      </c>
      <c r="J888" t="s">
        <v>66</v>
      </c>
      <c r="K888" t="s">
        <v>79</v>
      </c>
      <c r="L888" t="s">
        <v>204</v>
      </c>
    </row>
    <row r="889" spans="1:12" hidden="1" x14ac:dyDescent="0.2">
      <c r="A889">
        <v>5</v>
      </c>
      <c r="B889" s="21">
        <v>45998</v>
      </c>
      <c r="C889" t="s">
        <v>318</v>
      </c>
      <c r="D889">
        <v>14</v>
      </c>
      <c r="E889" t="s">
        <v>323</v>
      </c>
      <c r="F889" s="21">
        <v>37350</v>
      </c>
      <c r="G889" s="24" t="s">
        <v>314</v>
      </c>
      <c r="H889" t="s">
        <v>294</v>
      </c>
      <c r="I889" t="s">
        <v>36</v>
      </c>
      <c r="J889" t="s">
        <v>66</v>
      </c>
      <c r="K889" t="s">
        <v>74</v>
      </c>
      <c r="L889" t="s">
        <v>203</v>
      </c>
    </row>
    <row r="890" spans="1:12" hidden="1" x14ac:dyDescent="0.2">
      <c r="A890">
        <v>5</v>
      </c>
      <c r="B890" s="21">
        <v>45998</v>
      </c>
      <c r="C890" t="s">
        <v>318</v>
      </c>
      <c r="D890">
        <v>14</v>
      </c>
      <c r="E890" t="s">
        <v>323</v>
      </c>
      <c r="F890" s="21">
        <v>37350</v>
      </c>
      <c r="G890" s="24" t="s">
        <v>314</v>
      </c>
      <c r="H890" t="s">
        <v>295</v>
      </c>
      <c r="I890" t="s">
        <v>200</v>
      </c>
      <c r="J890" t="s">
        <v>71</v>
      </c>
      <c r="K890" t="s">
        <v>72</v>
      </c>
      <c r="L890" t="s">
        <v>202</v>
      </c>
    </row>
    <row r="891" spans="1:12" hidden="1" x14ac:dyDescent="0.2">
      <c r="A891">
        <v>5</v>
      </c>
      <c r="B891" s="21">
        <v>45998</v>
      </c>
      <c r="C891" t="s">
        <v>318</v>
      </c>
      <c r="D891">
        <v>14</v>
      </c>
      <c r="E891" t="s">
        <v>323</v>
      </c>
      <c r="F891" s="21">
        <v>37350</v>
      </c>
      <c r="G891" s="24" t="s">
        <v>314</v>
      </c>
      <c r="H891" t="s">
        <v>296</v>
      </c>
      <c r="I891" t="s">
        <v>9</v>
      </c>
      <c r="J891" t="s">
        <v>66</v>
      </c>
      <c r="K891" t="s">
        <v>79</v>
      </c>
      <c r="L891" t="s">
        <v>204</v>
      </c>
    </row>
    <row r="892" spans="1:12" hidden="1" x14ac:dyDescent="0.2">
      <c r="A892">
        <v>5</v>
      </c>
      <c r="B892" s="21">
        <v>45998</v>
      </c>
      <c r="C892" t="s">
        <v>318</v>
      </c>
      <c r="D892">
        <v>14</v>
      </c>
      <c r="E892" t="s">
        <v>323</v>
      </c>
      <c r="F892" s="21">
        <v>37350</v>
      </c>
      <c r="G892" s="24" t="s">
        <v>314</v>
      </c>
      <c r="H892" t="s">
        <v>278</v>
      </c>
      <c r="I892" t="s">
        <v>200</v>
      </c>
      <c r="J892" t="s">
        <v>71</v>
      </c>
      <c r="K892" t="s">
        <v>74</v>
      </c>
      <c r="L892" t="s">
        <v>203</v>
      </c>
    </row>
    <row r="893" spans="1:12" hidden="1" x14ac:dyDescent="0.2">
      <c r="A893">
        <v>5</v>
      </c>
      <c r="B893" s="21">
        <v>45998</v>
      </c>
      <c r="C893" t="s">
        <v>318</v>
      </c>
      <c r="D893">
        <v>14</v>
      </c>
      <c r="E893" t="s">
        <v>323</v>
      </c>
      <c r="F893" s="21">
        <v>37350</v>
      </c>
      <c r="G893" s="24" t="s">
        <v>314</v>
      </c>
      <c r="H893" t="s">
        <v>292</v>
      </c>
      <c r="I893" t="s">
        <v>311</v>
      </c>
      <c r="J893" t="s">
        <v>68</v>
      </c>
      <c r="K893" t="s">
        <v>73</v>
      </c>
      <c r="L893" t="s">
        <v>203</v>
      </c>
    </row>
    <row r="894" spans="1:12" hidden="1" x14ac:dyDescent="0.2">
      <c r="A894">
        <v>5</v>
      </c>
      <c r="B894" s="21">
        <v>45998</v>
      </c>
      <c r="C894" t="s">
        <v>318</v>
      </c>
      <c r="D894">
        <v>14</v>
      </c>
      <c r="E894" t="s">
        <v>323</v>
      </c>
      <c r="F894" s="21">
        <v>37350</v>
      </c>
      <c r="G894" s="24" t="s">
        <v>314</v>
      </c>
      <c r="H894" t="s">
        <v>290</v>
      </c>
      <c r="I894" t="s">
        <v>199</v>
      </c>
      <c r="J894" t="s">
        <v>68</v>
      </c>
      <c r="K894" t="s">
        <v>65</v>
      </c>
      <c r="L894" t="s">
        <v>202</v>
      </c>
    </row>
    <row r="895" spans="1:12" hidden="1" x14ac:dyDescent="0.2">
      <c r="A895">
        <v>5</v>
      </c>
      <c r="B895" s="21">
        <v>45998</v>
      </c>
      <c r="C895" t="s">
        <v>318</v>
      </c>
      <c r="D895">
        <v>14</v>
      </c>
      <c r="E895" t="s">
        <v>323</v>
      </c>
      <c r="F895" s="21">
        <v>37350</v>
      </c>
      <c r="G895" s="24" t="s">
        <v>314</v>
      </c>
      <c r="H895" t="s">
        <v>294</v>
      </c>
      <c r="I895" t="s">
        <v>200</v>
      </c>
      <c r="J895" t="s">
        <v>71</v>
      </c>
      <c r="K895" t="s">
        <v>74</v>
      </c>
      <c r="L895" t="s">
        <v>203</v>
      </c>
    </row>
    <row r="896" spans="1:12" hidden="1" x14ac:dyDescent="0.2">
      <c r="A896">
        <v>5</v>
      </c>
      <c r="B896" s="21">
        <v>45998</v>
      </c>
      <c r="C896" t="s">
        <v>318</v>
      </c>
      <c r="D896">
        <v>14</v>
      </c>
      <c r="E896" t="s">
        <v>323</v>
      </c>
      <c r="F896" s="21">
        <v>37350</v>
      </c>
      <c r="G896" s="24" t="s">
        <v>314</v>
      </c>
      <c r="H896" t="s">
        <v>295</v>
      </c>
      <c r="I896" t="s">
        <v>200</v>
      </c>
      <c r="J896" t="s">
        <v>71</v>
      </c>
      <c r="K896" t="s">
        <v>74</v>
      </c>
      <c r="L896" t="s">
        <v>203</v>
      </c>
    </row>
    <row r="897" spans="1:12" hidden="1" x14ac:dyDescent="0.2">
      <c r="A897">
        <v>5</v>
      </c>
      <c r="B897" s="21">
        <v>45998</v>
      </c>
      <c r="C897" t="s">
        <v>318</v>
      </c>
      <c r="D897">
        <v>14</v>
      </c>
      <c r="E897" t="s">
        <v>323</v>
      </c>
      <c r="F897" s="21">
        <v>37350</v>
      </c>
      <c r="G897" s="24" t="s">
        <v>314</v>
      </c>
      <c r="H897" t="s">
        <v>294</v>
      </c>
      <c r="I897" t="s">
        <v>200</v>
      </c>
      <c r="J897" t="s">
        <v>71</v>
      </c>
      <c r="K897" t="s">
        <v>73</v>
      </c>
      <c r="L897" t="s">
        <v>203</v>
      </c>
    </row>
    <row r="898" spans="1:12" hidden="1" x14ac:dyDescent="0.2">
      <c r="A898">
        <v>5</v>
      </c>
      <c r="B898" s="21">
        <v>45998</v>
      </c>
      <c r="C898" t="s">
        <v>318</v>
      </c>
      <c r="D898">
        <v>14</v>
      </c>
      <c r="E898" t="s">
        <v>323</v>
      </c>
      <c r="F898" s="21">
        <v>37350</v>
      </c>
      <c r="G898" s="24" t="s">
        <v>322</v>
      </c>
      <c r="H898" t="s">
        <v>290</v>
      </c>
      <c r="I898" t="s">
        <v>199</v>
      </c>
      <c r="J898" t="s">
        <v>71</v>
      </c>
      <c r="K898" t="s">
        <v>75</v>
      </c>
      <c r="L898" t="s">
        <v>204</v>
      </c>
    </row>
    <row r="899" spans="1:12" hidden="1" x14ac:dyDescent="0.2">
      <c r="A899">
        <v>5</v>
      </c>
      <c r="B899" s="21">
        <v>45998</v>
      </c>
      <c r="C899" t="s">
        <v>318</v>
      </c>
      <c r="D899">
        <v>14</v>
      </c>
      <c r="E899" t="s">
        <v>323</v>
      </c>
      <c r="F899" s="21">
        <v>37350</v>
      </c>
      <c r="G899" s="24" t="s">
        <v>322</v>
      </c>
      <c r="H899" t="s">
        <v>296</v>
      </c>
      <c r="I899" t="s">
        <v>6</v>
      </c>
      <c r="J899" t="s">
        <v>64</v>
      </c>
      <c r="K899" t="s">
        <v>79</v>
      </c>
      <c r="L899" t="s">
        <v>204</v>
      </c>
    </row>
    <row r="900" spans="1:12" hidden="1" x14ac:dyDescent="0.2">
      <c r="A900">
        <v>5</v>
      </c>
      <c r="B900" s="21">
        <v>45998</v>
      </c>
      <c r="C900" t="s">
        <v>318</v>
      </c>
      <c r="D900">
        <v>14</v>
      </c>
      <c r="E900" t="s">
        <v>323</v>
      </c>
      <c r="F900" s="21">
        <v>37350</v>
      </c>
      <c r="G900" s="24" t="s">
        <v>322</v>
      </c>
      <c r="H900" t="s">
        <v>294</v>
      </c>
      <c r="I900" t="s">
        <v>200</v>
      </c>
      <c r="J900" t="s">
        <v>71</v>
      </c>
      <c r="K900" t="s">
        <v>74</v>
      </c>
      <c r="L900" t="s">
        <v>203</v>
      </c>
    </row>
    <row r="901" spans="1:12" hidden="1" x14ac:dyDescent="0.2">
      <c r="A901">
        <v>5</v>
      </c>
      <c r="B901" s="21">
        <v>45998</v>
      </c>
      <c r="C901" t="s">
        <v>318</v>
      </c>
      <c r="D901">
        <v>14</v>
      </c>
      <c r="E901" t="s">
        <v>323</v>
      </c>
      <c r="F901" s="21">
        <v>37350</v>
      </c>
      <c r="G901" s="24" t="s">
        <v>322</v>
      </c>
      <c r="H901" t="s">
        <v>292</v>
      </c>
      <c r="I901" t="s">
        <v>311</v>
      </c>
      <c r="J901" t="s">
        <v>71</v>
      </c>
      <c r="K901" t="s">
        <v>73</v>
      </c>
      <c r="L901" t="s">
        <v>203</v>
      </c>
    </row>
    <row r="902" spans="1:12" hidden="1" x14ac:dyDescent="0.2">
      <c r="A902">
        <v>5</v>
      </c>
      <c r="B902" s="21">
        <v>45998</v>
      </c>
      <c r="C902" t="s">
        <v>318</v>
      </c>
      <c r="D902">
        <v>14</v>
      </c>
      <c r="E902" t="s">
        <v>323</v>
      </c>
      <c r="F902" s="21">
        <v>37350</v>
      </c>
      <c r="G902" s="24" t="s">
        <v>322</v>
      </c>
      <c r="H902" t="s">
        <v>295</v>
      </c>
      <c r="I902" t="s">
        <v>200</v>
      </c>
      <c r="J902" t="s">
        <v>64</v>
      </c>
      <c r="K902" t="s">
        <v>74</v>
      </c>
      <c r="L902" t="s">
        <v>203</v>
      </c>
    </row>
    <row r="903" spans="1:12" hidden="1" x14ac:dyDescent="0.2">
      <c r="A903">
        <v>5</v>
      </c>
      <c r="B903" s="21">
        <v>45998</v>
      </c>
      <c r="C903" t="s">
        <v>318</v>
      </c>
      <c r="D903">
        <v>14</v>
      </c>
      <c r="E903" t="s">
        <v>323</v>
      </c>
      <c r="F903" s="21">
        <v>37350</v>
      </c>
      <c r="G903" s="24" t="s">
        <v>322</v>
      </c>
      <c r="H903" t="s">
        <v>290</v>
      </c>
      <c r="I903" t="s">
        <v>311</v>
      </c>
      <c r="J903" t="s">
        <v>71</v>
      </c>
      <c r="K903" t="s">
        <v>65</v>
      </c>
      <c r="L903" t="s">
        <v>202</v>
      </c>
    </row>
    <row r="904" spans="1:12" hidden="1" x14ac:dyDescent="0.2">
      <c r="A904">
        <v>5</v>
      </c>
      <c r="B904" s="21">
        <v>45998</v>
      </c>
      <c r="C904" t="s">
        <v>318</v>
      </c>
      <c r="D904">
        <v>14</v>
      </c>
      <c r="E904" t="s">
        <v>323</v>
      </c>
      <c r="F904" s="21">
        <v>37350</v>
      </c>
      <c r="G904" s="24" t="s">
        <v>322</v>
      </c>
      <c r="H904" t="s">
        <v>287</v>
      </c>
      <c r="I904" t="s">
        <v>38</v>
      </c>
      <c r="J904" t="s">
        <v>66</v>
      </c>
      <c r="K904" t="s">
        <v>75</v>
      </c>
      <c r="L904" t="s">
        <v>204</v>
      </c>
    </row>
    <row r="905" spans="1:12" hidden="1" x14ac:dyDescent="0.2">
      <c r="A905">
        <v>5</v>
      </c>
      <c r="B905" s="21">
        <v>45998</v>
      </c>
      <c r="C905" t="s">
        <v>318</v>
      </c>
      <c r="D905">
        <v>14</v>
      </c>
      <c r="E905" t="s">
        <v>323</v>
      </c>
      <c r="F905" s="21">
        <v>37350</v>
      </c>
      <c r="G905" s="24" t="s">
        <v>322</v>
      </c>
      <c r="H905" t="s">
        <v>295</v>
      </c>
      <c r="I905" t="s">
        <v>200</v>
      </c>
      <c r="J905" t="s">
        <v>71</v>
      </c>
      <c r="K905" t="s">
        <v>72</v>
      </c>
      <c r="L905" t="s">
        <v>202</v>
      </c>
    </row>
    <row r="906" spans="1:12" hidden="1" x14ac:dyDescent="0.2">
      <c r="A906">
        <v>5</v>
      </c>
      <c r="B906" s="21">
        <v>45998</v>
      </c>
      <c r="C906" t="s">
        <v>318</v>
      </c>
      <c r="D906">
        <v>14</v>
      </c>
      <c r="E906" t="s">
        <v>323</v>
      </c>
      <c r="F906" s="21">
        <v>37350</v>
      </c>
      <c r="G906" s="24" t="s">
        <v>322</v>
      </c>
      <c r="H906" t="s">
        <v>287</v>
      </c>
      <c r="I906" t="s">
        <v>311</v>
      </c>
      <c r="J906" t="s">
        <v>71</v>
      </c>
      <c r="K906" t="s">
        <v>75</v>
      </c>
      <c r="L906" t="s">
        <v>204</v>
      </c>
    </row>
    <row r="907" spans="1:12" hidden="1" x14ac:dyDescent="0.2">
      <c r="A907">
        <v>5</v>
      </c>
      <c r="B907" s="21">
        <v>45998</v>
      </c>
      <c r="C907" t="s">
        <v>318</v>
      </c>
      <c r="D907">
        <v>14</v>
      </c>
      <c r="E907" t="s">
        <v>323</v>
      </c>
      <c r="F907" s="21">
        <v>37350</v>
      </c>
      <c r="G907" s="24" t="s">
        <v>322</v>
      </c>
      <c r="H907" t="s">
        <v>292</v>
      </c>
      <c r="I907" t="s">
        <v>199</v>
      </c>
      <c r="J907" t="s">
        <v>71</v>
      </c>
      <c r="K907" t="s">
        <v>73</v>
      </c>
      <c r="L907" t="s">
        <v>203</v>
      </c>
    </row>
    <row r="908" spans="1:12" hidden="1" x14ac:dyDescent="0.2">
      <c r="A908">
        <v>5</v>
      </c>
      <c r="B908" s="21">
        <v>45998</v>
      </c>
      <c r="C908" t="s">
        <v>318</v>
      </c>
      <c r="D908">
        <v>14</v>
      </c>
      <c r="E908" t="s">
        <v>323</v>
      </c>
      <c r="F908" s="21">
        <v>37350</v>
      </c>
      <c r="G908" s="24" t="s">
        <v>322</v>
      </c>
      <c r="H908" t="s">
        <v>292</v>
      </c>
      <c r="I908" t="s">
        <v>200</v>
      </c>
      <c r="J908" t="s">
        <v>71</v>
      </c>
      <c r="K908" t="s">
        <v>73</v>
      </c>
      <c r="L908" t="s">
        <v>203</v>
      </c>
    </row>
    <row r="909" spans="1:12" hidden="1" x14ac:dyDescent="0.2">
      <c r="A909">
        <v>5</v>
      </c>
      <c r="B909" s="21">
        <v>45998</v>
      </c>
      <c r="C909" t="s">
        <v>318</v>
      </c>
      <c r="D909">
        <v>14</v>
      </c>
      <c r="E909" t="s">
        <v>323</v>
      </c>
      <c r="F909" s="21">
        <v>37350</v>
      </c>
      <c r="G909" s="24" t="s">
        <v>322</v>
      </c>
      <c r="H909" t="s">
        <v>294</v>
      </c>
      <c r="I909" t="s">
        <v>76</v>
      </c>
      <c r="J909" t="s">
        <v>64</v>
      </c>
      <c r="K909" t="s">
        <v>73</v>
      </c>
      <c r="L909" t="s">
        <v>203</v>
      </c>
    </row>
    <row r="910" spans="1:12" hidden="1" x14ac:dyDescent="0.2">
      <c r="A910">
        <v>5</v>
      </c>
      <c r="B910" s="21">
        <v>45998</v>
      </c>
      <c r="C910" t="s">
        <v>318</v>
      </c>
      <c r="D910">
        <v>14</v>
      </c>
      <c r="E910" t="s">
        <v>323</v>
      </c>
      <c r="F910" s="21">
        <v>37350</v>
      </c>
      <c r="G910" s="24" t="s">
        <v>322</v>
      </c>
      <c r="H910" t="s">
        <v>294</v>
      </c>
      <c r="I910" t="s">
        <v>200</v>
      </c>
      <c r="J910" t="s">
        <v>68</v>
      </c>
      <c r="K910" t="s">
        <v>74</v>
      </c>
      <c r="L910" t="s">
        <v>203</v>
      </c>
    </row>
    <row r="911" spans="1:12" hidden="1" x14ac:dyDescent="0.2">
      <c r="A911">
        <v>5</v>
      </c>
      <c r="B911" s="21">
        <v>45998</v>
      </c>
      <c r="C911" t="s">
        <v>318</v>
      </c>
      <c r="D911">
        <v>14</v>
      </c>
      <c r="E911" t="s">
        <v>323</v>
      </c>
      <c r="F911" s="21">
        <v>37350</v>
      </c>
      <c r="G911" s="24" t="s">
        <v>322</v>
      </c>
      <c r="H911" t="s">
        <v>287</v>
      </c>
      <c r="I911" t="s">
        <v>40</v>
      </c>
      <c r="J911" t="s">
        <v>64</v>
      </c>
      <c r="K911" t="s">
        <v>73</v>
      </c>
      <c r="L911" t="s">
        <v>203</v>
      </c>
    </row>
    <row r="912" spans="1:12" hidden="1" x14ac:dyDescent="0.2">
      <c r="A912">
        <v>5</v>
      </c>
      <c r="B912" s="21">
        <v>45998</v>
      </c>
      <c r="C912" t="s">
        <v>318</v>
      </c>
      <c r="D912">
        <v>14</v>
      </c>
      <c r="E912" t="s">
        <v>323</v>
      </c>
      <c r="F912" s="21">
        <v>37350</v>
      </c>
      <c r="G912" s="24" t="s">
        <v>322</v>
      </c>
      <c r="H912" t="s">
        <v>290</v>
      </c>
      <c r="I912" t="s">
        <v>200</v>
      </c>
      <c r="J912" t="s">
        <v>68</v>
      </c>
      <c r="K912" t="s">
        <v>75</v>
      </c>
      <c r="L912" t="s">
        <v>204</v>
      </c>
    </row>
    <row r="913" spans="1:12" hidden="1" x14ac:dyDescent="0.2">
      <c r="A913">
        <v>5</v>
      </c>
      <c r="B913" s="21">
        <v>45998</v>
      </c>
      <c r="C913" t="s">
        <v>318</v>
      </c>
      <c r="D913">
        <v>14</v>
      </c>
      <c r="E913" t="s">
        <v>323</v>
      </c>
      <c r="F913" s="21">
        <v>37350</v>
      </c>
      <c r="G913" s="24" t="s">
        <v>322</v>
      </c>
      <c r="H913" t="s">
        <v>283</v>
      </c>
      <c r="I913" t="s">
        <v>261</v>
      </c>
      <c r="J913" t="s">
        <v>66</v>
      </c>
      <c r="K913" t="s">
        <v>70</v>
      </c>
      <c r="L913" t="s">
        <v>204</v>
      </c>
    </row>
    <row r="914" spans="1:12" hidden="1" x14ac:dyDescent="0.2">
      <c r="A914">
        <v>5</v>
      </c>
      <c r="B914" s="21">
        <v>45998</v>
      </c>
      <c r="C914" t="s">
        <v>318</v>
      </c>
      <c r="D914">
        <v>14</v>
      </c>
      <c r="E914" t="s">
        <v>323</v>
      </c>
      <c r="F914" s="21">
        <v>37350</v>
      </c>
      <c r="G914" s="24" t="s">
        <v>322</v>
      </c>
      <c r="H914" t="s">
        <v>279</v>
      </c>
      <c r="I914" t="s">
        <v>199</v>
      </c>
      <c r="J914" t="s">
        <v>68</v>
      </c>
      <c r="K914" t="s">
        <v>75</v>
      </c>
      <c r="L914" t="s">
        <v>204</v>
      </c>
    </row>
    <row r="915" spans="1:12" hidden="1" x14ac:dyDescent="0.2">
      <c r="A915">
        <v>5</v>
      </c>
      <c r="B915" s="21">
        <v>45998</v>
      </c>
      <c r="C915" t="s">
        <v>318</v>
      </c>
      <c r="D915">
        <v>14</v>
      </c>
      <c r="E915" t="s">
        <v>323</v>
      </c>
      <c r="F915" s="21">
        <v>37350</v>
      </c>
      <c r="G915" s="24" t="s">
        <v>322</v>
      </c>
      <c r="H915" t="s">
        <v>282</v>
      </c>
      <c r="I915" t="s">
        <v>30</v>
      </c>
      <c r="J915" t="s">
        <v>71</v>
      </c>
      <c r="K915" t="s">
        <v>73</v>
      </c>
      <c r="L915" t="s">
        <v>203</v>
      </c>
    </row>
    <row r="916" spans="1:12" hidden="1" x14ac:dyDescent="0.2">
      <c r="A916">
        <v>5</v>
      </c>
      <c r="B916" s="21">
        <v>45998</v>
      </c>
      <c r="C916" t="s">
        <v>318</v>
      </c>
      <c r="D916">
        <v>14</v>
      </c>
      <c r="E916" t="s">
        <v>323</v>
      </c>
      <c r="F916" s="21">
        <v>37350</v>
      </c>
      <c r="G916" s="24" t="s">
        <v>322</v>
      </c>
      <c r="H916" t="s">
        <v>279</v>
      </c>
      <c r="I916" t="s">
        <v>12</v>
      </c>
      <c r="J916" t="s">
        <v>66</v>
      </c>
      <c r="K916" t="s">
        <v>70</v>
      </c>
      <c r="L916" t="s">
        <v>204</v>
      </c>
    </row>
    <row r="917" spans="1:12" hidden="1" x14ac:dyDescent="0.2">
      <c r="A917">
        <v>5</v>
      </c>
      <c r="B917" s="21">
        <v>45998</v>
      </c>
      <c r="C917" t="s">
        <v>318</v>
      </c>
      <c r="D917">
        <v>14</v>
      </c>
      <c r="E917" t="s">
        <v>323</v>
      </c>
      <c r="F917" s="21">
        <v>37350</v>
      </c>
      <c r="G917" s="24" t="s">
        <v>322</v>
      </c>
      <c r="H917" t="s">
        <v>293</v>
      </c>
      <c r="I917" t="s">
        <v>32</v>
      </c>
      <c r="J917" t="s">
        <v>64</v>
      </c>
      <c r="K917" t="s">
        <v>73</v>
      </c>
      <c r="L917" t="s">
        <v>203</v>
      </c>
    </row>
    <row r="918" spans="1:12" hidden="1" x14ac:dyDescent="0.2">
      <c r="A918">
        <v>5</v>
      </c>
      <c r="B918" s="21">
        <v>45998</v>
      </c>
      <c r="C918" t="s">
        <v>318</v>
      </c>
      <c r="D918">
        <v>14</v>
      </c>
      <c r="E918" t="s">
        <v>323</v>
      </c>
      <c r="F918" s="21">
        <v>37350</v>
      </c>
      <c r="G918" s="24" t="s">
        <v>322</v>
      </c>
      <c r="H918" t="s">
        <v>279</v>
      </c>
      <c r="I918" t="s">
        <v>12</v>
      </c>
      <c r="J918" t="s">
        <v>64</v>
      </c>
      <c r="K918" t="s">
        <v>75</v>
      </c>
      <c r="L918" t="s">
        <v>204</v>
      </c>
    </row>
    <row r="919" spans="1:12" hidden="1" x14ac:dyDescent="0.2">
      <c r="A919">
        <v>5</v>
      </c>
      <c r="B919" s="21">
        <v>45998</v>
      </c>
      <c r="C919" t="s">
        <v>318</v>
      </c>
      <c r="D919">
        <v>14</v>
      </c>
      <c r="E919" t="s">
        <v>323</v>
      </c>
      <c r="F919" s="21">
        <v>37350</v>
      </c>
      <c r="G919" s="24" t="s">
        <v>322</v>
      </c>
      <c r="H919" t="s">
        <v>287</v>
      </c>
      <c r="I919" t="s">
        <v>6</v>
      </c>
      <c r="J919" t="s">
        <v>66</v>
      </c>
      <c r="K919" t="s">
        <v>75</v>
      </c>
      <c r="L919" t="s">
        <v>204</v>
      </c>
    </row>
    <row r="920" spans="1:12" hidden="1" x14ac:dyDescent="0.2">
      <c r="A920">
        <v>5</v>
      </c>
      <c r="B920" s="21">
        <v>45998</v>
      </c>
      <c r="C920" t="s">
        <v>318</v>
      </c>
      <c r="D920">
        <v>14</v>
      </c>
      <c r="E920" t="s">
        <v>323</v>
      </c>
      <c r="F920" s="21">
        <v>37350</v>
      </c>
      <c r="G920" s="24" t="s">
        <v>322</v>
      </c>
      <c r="H920" t="s">
        <v>283</v>
      </c>
      <c r="I920" t="s">
        <v>40</v>
      </c>
      <c r="J920" t="s">
        <v>66</v>
      </c>
      <c r="K920" t="s">
        <v>67</v>
      </c>
      <c r="L920" t="s">
        <v>202</v>
      </c>
    </row>
    <row r="921" spans="1:12" hidden="1" x14ac:dyDescent="0.2">
      <c r="A921">
        <v>5</v>
      </c>
      <c r="B921" s="21">
        <v>45998</v>
      </c>
      <c r="C921" t="s">
        <v>318</v>
      </c>
      <c r="D921">
        <v>14</v>
      </c>
      <c r="E921" t="s">
        <v>323</v>
      </c>
      <c r="F921" s="21">
        <v>37350</v>
      </c>
      <c r="G921" s="24" t="s">
        <v>322</v>
      </c>
      <c r="H921" t="s">
        <v>278</v>
      </c>
      <c r="I921" t="s">
        <v>200</v>
      </c>
      <c r="J921" t="s">
        <v>68</v>
      </c>
      <c r="K921" t="s">
        <v>69</v>
      </c>
      <c r="L921" t="s">
        <v>204</v>
      </c>
    </row>
    <row r="922" spans="1:12" hidden="1" x14ac:dyDescent="0.2">
      <c r="A922">
        <v>5</v>
      </c>
      <c r="B922" s="21">
        <v>45998</v>
      </c>
      <c r="C922" t="s">
        <v>318</v>
      </c>
      <c r="D922">
        <v>14</v>
      </c>
      <c r="E922" t="s">
        <v>323</v>
      </c>
      <c r="F922" s="21">
        <v>37350</v>
      </c>
      <c r="G922" s="24" t="s">
        <v>322</v>
      </c>
      <c r="H922" t="s">
        <v>279</v>
      </c>
      <c r="I922" t="s">
        <v>311</v>
      </c>
      <c r="J922" t="s">
        <v>71</v>
      </c>
      <c r="K922" t="s">
        <v>69</v>
      </c>
      <c r="L922" t="s">
        <v>204</v>
      </c>
    </row>
    <row r="923" spans="1:12" hidden="1" x14ac:dyDescent="0.2">
      <c r="A923">
        <v>5</v>
      </c>
      <c r="B923" s="21">
        <v>45998</v>
      </c>
      <c r="C923" t="s">
        <v>318</v>
      </c>
      <c r="D923">
        <v>14</v>
      </c>
      <c r="E923" t="s">
        <v>323</v>
      </c>
      <c r="F923" s="21">
        <v>37350</v>
      </c>
      <c r="G923" s="24" t="s">
        <v>322</v>
      </c>
      <c r="H923" t="s">
        <v>279</v>
      </c>
      <c r="I923" t="s">
        <v>16</v>
      </c>
      <c r="J923" t="s">
        <v>66</v>
      </c>
      <c r="K923" t="s">
        <v>69</v>
      </c>
      <c r="L923" t="s">
        <v>204</v>
      </c>
    </row>
    <row r="924" spans="1:12" hidden="1" x14ac:dyDescent="0.2">
      <c r="A924">
        <v>5</v>
      </c>
      <c r="B924" s="21">
        <v>45998</v>
      </c>
      <c r="C924" t="s">
        <v>318</v>
      </c>
      <c r="D924">
        <v>14</v>
      </c>
      <c r="E924" t="s">
        <v>323</v>
      </c>
      <c r="F924" s="21">
        <v>37350</v>
      </c>
      <c r="G924" s="24" t="s">
        <v>322</v>
      </c>
      <c r="H924" t="s">
        <v>279</v>
      </c>
      <c r="I924" t="s">
        <v>12</v>
      </c>
      <c r="J924" t="s">
        <v>71</v>
      </c>
      <c r="K924" t="s">
        <v>75</v>
      </c>
      <c r="L924" t="s">
        <v>204</v>
      </c>
    </row>
    <row r="925" spans="1:12" hidden="1" x14ac:dyDescent="0.2">
      <c r="A925">
        <v>5</v>
      </c>
      <c r="B925" s="21">
        <v>45998</v>
      </c>
      <c r="C925" t="s">
        <v>318</v>
      </c>
      <c r="D925">
        <v>14</v>
      </c>
      <c r="E925" t="s">
        <v>323</v>
      </c>
      <c r="F925" s="21">
        <v>37350</v>
      </c>
      <c r="G925" s="24" t="s">
        <v>322</v>
      </c>
      <c r="H925" t="s">
        <v>279</v>
      </c>
      <c r="I925" t="s">
        <v>6</v>
      </c>
      <c r="K925" t="s">
        <v>75</v>
      </c>
      <c r="L925" t="s">
        <v>204</v>
      </c>
    </row>
    <row r="926" spans="1:12" hidden="1" x14ac:dyDescent="0.2">
      <c r="A926">
        <v>5</v>
      </c>
      <c r="B926" s="21">
        <v>45998</v>
      </c>
      <c r="C926" t="s">
        <v>318</v>
      </c>
      <c r="D926">
        <v>14</v>
      </c>
      <c r="E926" t="s">
        <v>323</v>
      </c>
      <c r="F926" s="21">
        <v>37350</v>
      </c>
      <c r="G926" s="24" t="s">
        <v>322</v>
      </c>
      <c r="H926" t="s">
        <v>292</v>
      </c>
      <c r="I926" t="s">
        <v>9</v>
      </c>
      <c r="J926" t="s">
        <v>66</v>
      </c>
      <c r="K926" t="s">
        <v>75</v>
      </c>
      <c r="L926" t="s">
        <v>204</v>
      </c>
    </row>
    <row r="927" spans="1:12" hidden="1" x14ac:dyDescent="0.2">
      <c r="A927">
        <v>5</v>
      </c>
      <c r="B927" s="21">
        <v>45998</v>
      </c>
      <c r="C927" t="s">
        <v>318</v>
      </c>
      <c r="D927">
        <v>14</v>
      </c>
      <c r="E927" t="s">
        <v>323</v>
      </c>
      <c r="F927" s="21">
        <v>37350</v>
      </c>
      <c r="G927" s="24" t="s">
        <v>322</v>
      </c>
      <c r="H927" t="s">
        <v>279</v>
      </c>
      <c r="I927" t="s">
        <v>23</v>
      </c>
      <c r="J927" t="s">
        <v>66</v>
      </c>
      <c r="K927" t="s">
        <v>79</v>
      </c>
      <c r="L927" t="s">
        <v>204</v>
      </c>
    </row>
    <row r="928" spans="1:12" hidden="1" x14ac:dyDescent="0.2">
      <c r="A928">
        <v>5</v>
      </c>
      <c r="B928" s="21">
        <v>45998</v>
      </c>
      <c r="C928" t="s">
        <v>318</v>
      </c>
      <c r="D928">
        <v>14</v>
      </c>
      <c r="E928" t="s">
        <v>323</v>
      </c>
      <c r="F928" s="21">
        <v>37350</v>
      </c>
      <c r="G928" s="24" t="s">
        <v>322</v>
      </c>
      <c r="H928" t="s">
        <v>292</v>
      </c>
      <c r="I928" t="s">
        <v>311</v>
      </c>
      <c r="J928" t="s">
        <v>68</v>
      </c>
      <c r="K928" t="s">
        <v>75</v>
      </c>
      <c r="L928" t="s">
        <v>204</v>
      </c>
    </row>
    <row r="929" spans="1:12" hidden="1" x14ac:dyDescent="0.2">
      <c r="A929">
        <v>5</v>
      </c>
      <c r="B929" s="21">
        <v>45998</v>
      </c>
      <c r="C929" t="s">
        <v>318</v>
      </c>
      <c r="D929">
        <v>14</v>
      </c>
      <c r="E929" t="s">
        <v>323</v>
      </c>
      <c r="F929" s="21">
        <v>37350</v>
      </c>
      <c r="G929" s="24" t="s">
        <v>322</v>
      </c>
      <c r="H929" t="s">
        <v>278</v>
      </c>
      <c r="I929" t="s">
        <v>200</v>
      </c>
      <c r="J929" t="s">
        <v>68</v>
      </c>
      <c r="K929" t="s">
        <v>75</v>
      </c>
      <c r="L929" t="s">
        <v>204</v>
      </c>
    </row>
    <row r="930" spans="1:12" hidden="1" x14ac:dyDescent="0.2">
      <c r="A930">
        <v>5</v>
      </c>
      <c r="B930" s="21">
        <v>45998</v>
      </c>
      <c r="C930" t="s">
        <v>318</v>
      </c>
      <c r="D930">
        <v>14</v>
      </c>
      <c r="E930" t="s">
        <v>323</v>
      </c>
      <c r="F930" s="21">
        <v>37350</v>
      </c>
      <c r="G930" s="24" t="s">
        <v>322</v>
      </c>
      <c r="H930" t="s">
        <v>282</v>
      </c>
      <c r="I930" t="s">
        <v>199</v>
      </c>
      <c r="J930" t="s">
        <v>71</v>
      </c>
      <c r="K930" t="s">
        <v>75</v>
      </c>
      <c r="L930" t="s">
        <v>204</v>
      </c>
    </row>
    <row r="931" spans="1:12" hidden="1" x14ac:dyDescent="0.2">
      <c r="A931">
        <v>5</v>
      </c>
      <c r="B931" s="21">
        <v>45998</v>
      </c>
      <c r="C931" t="s">
        <v>318</v>
      </c>
      <c r="D931">
        <v>14</v>
      </c>
      <c r="E931" t="s">
        <v>323</v>
      </c>
      <c r="F931" s="21">
        <v>37350</v>
      </c>
      <c r="G931" s="24" t="s">
        <v>322</v>
      </c>
      <c r="H931" t="s">
        <v>279</v>
      </c>
      <c r="I931" t="s">
        <v>200</v>
      </c>
      <c r="J931" t="s">
        <v>71</v>
      </c>
      <c r="K931" t="s">
        <v>70</v>
      </c>
      <c r="L931" t="s">
        <v>204</v>
      </c>
    </row>
    <row r="932" spans="1:12" hidden="1" x14ac:dyDescent="0.2">
      <c r="A932">
        <v>5</v>
      </c>
      <c r="B932" s="21">
        <v>45998</v>
      </c>
      <c r="C932" t="s">
        <v>318</v>
      </c>
      <c r="D932">
        <v>14</v>
      </c>
      <c r="E932" t="s">
        <v>323</v>
      </c>
      <c r="F932" s="21">
        <v>37350</v>
      </c>
      <c r="G932" s="24" t="s">
        <v>322</v>
      </c>
      <c r="H932" t="s">
        <v>319</v>
      </c>
      <c r="I932" t="s">
        <v>200</v>
      </c>
      <c r="J932" t="s">
        <v>71</v>
      </c>
      <c r="K932" t="s">
        <v>72</v>
      </c>
      <c r="L932" t="s">
        <v>202</v>
      </c>
    </row>
    <row r="933" spans="1:12" hidden="1" x14ac:dyDescent="0.2">
      <c r="A933">
        <v>5</v>
      </c>
      <c r="B933" s="21">
        <v>45998</v>
      </c>
      <c r="C933" t="s">
        <v>318</v>
      </c>
      <c r="D933">
        <v>14</v>
      </c>
      <c r="E933" t="s">
        <v>323</v>
      </c>
      <c r="F933" s="21">
        <v>37350</v>
      </c>
      <c r="G933" s="24" t="s">
        <v>322</v>
      </c>
      <c r="H933" t="s">
        <v>282</v>
      </c>
      <c r="I933" t="s">
        <v>32</v>
      </c>
      <c r="J933" t="s">
        <v>64</v>
      </c>
      <c r="K933" t="s">
        <v>72</v>
      </c>
      <c r="L933" t="s">
        <v>202</v>
      </c>
    </row>
    <row r="934" spans="1:12" hidden="1" x14ac:dyDescent="0.2">
      <c r="A934">
        <v>5</v>
      </c>
      <c r="B934" s="21">
        <v>45998</v>
      </c>
      <c r="C934" t="s">
        <v>318</v>
      </c>
      <c r="D934">
        <v>14</v>
      </c>
      <c r="E934" t="s">
        <v>323</v>
      </c>
      <c r="F934" s="21">
        <v>37350</v>
      </c>
      <c r="G934" s="24" t="s">
        <v>322</v>
      </c>
      <c r="H934" t="s">
        <v>289</v>
      </c>
      <c r="I934" t="s">
        <v>30</v>
      </c>
      <c r="J934" t="s">
        <v>66</v>
      </c>
      <c r="K934" t="s">
        <v>72</v>
      </c>
      <c r="L934" t="s">
        <v>202</v>
      </c>
    </row>
    <row r="935" spans="1:12" hidden="1" x14ac:dyDescent="0.2">
      <c r="A935">
        <v>5</v>
      </c>
      <c r="B935" s="21">
        <v>45998</v>
      </c>
      <c r="C935" t="s">
        <v>318</v>
      </c>
      <c r="D935">
        <v>14</v>
      </c>
      <c r="E935" t="s">
        <v>323</v>
      </c>
      <c r="F935" s="21">
        <v>37350</v>
      </c>
      <c r="G935" s="24" t="s">
        <v>322</v>
      </c>
      <c r="H935" t="s">
        <v>278</v>
      </c>
      <c r="I935" t="s">
        <v>199</v>
      </c>
      <c r="J935" t="s">
        <v>71</v>
      </c>
      <c r="K935" t="s">
        <v>67</v>
      </c>
      <c r="L935" t="s">
        <v>202</v>
      </c>
    </row>
    <row r="936" spans="1:12" hidden="1" x14ac:dyDescent="0.2">
      <c r="A936">
        <v>6</v>
      </c>
      <c r="B936" s="21">
        <v>46026</v>
      </c>
      <c r="C936" t="s">
        <v>325</v>
      </c>
      <c r="D936">
        <v>15</v>
      </c>
      <c r="E936" t="s">
        <v>325</v>
      </c>
      <c r="F936" s="21">
        <v>37350</v>
      </c>
      <c r="G936" s="24" t="s">
        <v>307</v>
      </c>
      <c r="H936" t="s">
        <v>294</v>
      </c>
      <c r="I936" t="s">
        <v>6</v>
      </c>
      <c r="J936" t="s">
        <v>66</v>
      </c>
      <c r="K936" t="s">
        <v>74</v>
      </c>
      <c r="L936" t="s">
        <v>203</v>
      </c>
    </row>
    <row r="937" spans="1:12" hidden="1" x14ac:dyDescent="0.2">
      <c r="A937">
        <v>6</v>
      </c>
      <c r="B937" s="21">
        <v>46026</v>
      </c>
      <c r="C937" t="s">
        <v>325</v>
      </c>
      <c r="D937">
        <v>15</v>
      </c>
      <c r="E937" t="s">
        <v>325</v>
      </c>
      <c r="F937" s="21">
        <v>37350</v>
      </c>
      <c r="G937" s="24" t="s">
        <v>307</v>
      </c>
      <c r="H937" t="s">
        <v>292</v>
      </c>
      <c r="I937" t="s">
        <v>200</v>
      </c>
      <c r="J937" t="s">
        <v>71</v>
      </c>
      <c r="K937" t="s">
        <v>73</v>
      </c>
      <c r="L937" t="s">
        <v>203</v>
      </c>
    </row>
    <row r="938" spans="1:12" hidden="1" x14ac:dyDescent="0.2">
      <c r="A938">
        <v>6</v>
      </c>
      <c r="B938" s="21">
        <v>46026</v>
      </c>
      <c r="C938" t="s">
        <v>325</v>
      </c>
      <c r="D938">
        <v>15</v>
      </c>
      <c r="E938" t="s">
        <v>325</v>
      </c>
      <c r="F938" s="21">
        <v>37350</v>
      </c>
      <c r="G938" s="24" t="s">
        <v>307</v>
      </c>
      <c r="H938" t="s">
        <v>293</v>
      </c>
      <c r="I938" t="s">
        <v>6</v>
      </c>
      <c r="J938" t="s">
        <v>66</v>
      </c>
      <c r="K938" t="s">
        <v>74</v>
      </c>
      <c r="L938" t="s">
        <v>203</v>
      </c>
    </row>
    <row r="939" spans="1:12" hidden="1" x14ac:dyDescent="0.2">
      <c r="A939">
        <v>6</v>
      </c>
      <c r="B939" s="21">
        <v>46026</v>
      </c>
      <c r="C939" t="s">
        <v>325</v>
      </c>
      <c r="D939">
        <v>15</v>
      </c>
      <c r="E939" t="s">
        <v>325</v>
      </c>
      <c r="F939" s="21">
        <v>37350</v>
      </c>
      <c r="G939" s="24" t="s">
        <v>307</v>
      </c>
      <c r="H939" t="s">
        <v>283</v>
      </c>
      <c r="I939" t="s">
        <v>261</v>
      </c>
      <c r="J939" t="s">
        <v>66</v>
      </c>
      <c r="K939" t="s">
        <v>67</v>
      </c>
    </row>
    <row r="940" spans="1:12" hidden="1" x14ac:dyDescent="0.2">
      <c r="A940">
        <v>6</v>
      </c>
      <c r="B940" s="21">
        <v>46026</v>
      </c>
      <c r="C940" t="s">
        <v>325</v>
      </c>
      <c r="D940">
        <v>15</v>
      </c>
      <c r="E940" t="s">
        <v>325</v>
      </c>
      <c r="F940" s="21">
        <v>37350</v>
      </c>
      <c r="G940" s="24" t="s">
        <v>307</v>
      </c>
      <c r="H940" t="s">
        <v>283</v>
      </c>
      <c r="I940" t="s">
        <v>30</v>
      </c>
      <c r="J940" t="s">
        <v>71</v>
      </c>
      <c r="K940" t="s">
        <v>74</v>
      </c>
      <c r="L940" t="s">
        <v>203</v>
      </c>
    </row>
    <row r="941" spans="1:12" hidden="1" x14ac:dyDescent="0.2">
      <c r="A941">
        <v>6</v>
      </c>
      <c r="B941" s="21">
        <v>46026</v>
      </c>
      <c r="C941" t="s">
        <v>325</v>
      </c>
      <c r="D941">
        <v>15</v>
      </c>
      <c r="E941" t="s">
        <v>325</v>
      </c>
      <c r="F941" s="21">
        <v>37350</v>
      </c>
      <c r="G941" s="24" t="s">
        <v>307</v>
      </c>
      <c r="H941" t="s">
        <v>283</v>
      </c>
      <c r="I941" t="s">
        <v>30</v>
      </c>
      <c r="J941" t="s">
        <v>71</v>
      </c>
      <c r="K941" t="s">
        <v>74</v>
      </c>
      <c r="L941" t="s">
        <v>203</v>
      </c>
    </row>
    <row r="942" spans="1:12" hidden="1" x14ac:dyDescent="0.2">
      <c r="A942">
        <v>6</v>
      </c>
      <c r="B942" s="21">
        <v>46026</v>
      </c>
      <c r="C942" t="s">
        <v>325</v>
      </c>
      <c r="D942">
        <v>15</v>
      </c>
      <c r="E942" t="s">
        <v>325</v>
      </c>
      <c r="F942" s="21">
        <v>37350</v>
      </c>
      <c r="G942" s="24" t="s">
        <v>307</v>
      </c>
      <c r="H942" t="s">
        <v>294</v>
      </c>
      <c r="I942" t="s">
        <v>200</v>
      </c>
      <c r="J942" t="s">
        <v>71</v>
      </c>
      <c r="K942" t="s">
        <v>74</v>
      </c>
      <c r="L942" t="s">
        <v>203</v>
      </c>
    </row>
    <row r="943" spans="1:12" hidden="1" x14ac:dyDescent="0.2">
      <c r="A943">
        <v>6</v>
      </c>
      <c r="B943" s="21">
        <v>46026</v>
      </c>
      <c r="C943" t="s">
        <v>325</v>
      </c>
      <c r="D943">
        <v>15</v>
      </c>
      <c r="E943" t="s">
        <v>325</v>
      </c>
      <c r="F943" s="21">
        <v>37350</v>
      </c>
      <c r="G943" s="24" t="s">
        <v>307</v>
      </c>
      <c r="H943" t="s">
        <v>294</v>
      </c>
      <c r="I943" t="s">
        <v>199</v>
      </c>
      <c r="J943" t="s">
        <v>71</v>
      </c>
      <c r="K943" t="s">
        <v>74</v>
      </c>
      <c r="L943" t="s">
        <v>203</v>
      </c>
    </row>
    <row r="944" spans="1:12" hidden="1" x14ac:dyDescent="0.2">
      <c r="A944">
        <v>6</v>
      </c>
      <c r="B944" s="21">
        <v>46026</v>
      </c>
      <c r="C944" t="s">
        <v>325</v>
      </c>
      <c r="D944">
        <v>15</v>
      </c>
      <c r="E944" t="s">
        <v>325</v>
      </c>
      <c r="F944" s="21">
        <v>37350</v>
      </c>
      <c r="G944" s="24" t="s">
        <v>307</v>
      </c>
      <c r="H944" t="s">
        <v>293</v>
      </c>
      <c r="I944" t="s">
        <v>6</v>
      </c>
      <c r="K944" t="s">
        <v>74</v>
      </c>
      <c r="L944" t="s">
        <v>203</v>
      </c>
    </row>
    <row r="945" spans="1:13" hidden="1" x14ac:dyDescent="0.2">
      <c r="A945">
        <v>6</v>
      </c>
      <c r="B945" s="21">
        <v>46026</v>
      </c>
      <c r="C945" t="s">
        <v>325</v>
      </c>
      <c r="D945">
        <v>15</v>
      </c>
      <c r="E945" t="s">
        <v>325</v>
      </c>
      <c r="F945" s="21">
        <v>37350</v>
      </c>
      <c r="G945" s="24" t="s">
        <v>307</v>
      </c>
      <c r="H945" t="s">
        <v>294</v>
      </c>
      <c r="I945" t="s">
        <v>205</v>
      </c>
      <c r="J945" t="s">
        <v>66</v>
      </c>
      <c r="K945" t="s">
        <v>74</v>
      </c>
      <c r="L945" t="s">
        <v>203</v>
      </c>
    </row>
    <row r="946" spans="1:13" hidden="1" x14ac:dyDescent="0.2">
      <c r="A946">
        <v>6</v>
      </c>
      <c r="B946" s="21">
        <v>46026</v>
      </c>
      <c r="C946" t="s">
        <v>325</v>
      </c>
      <c r="D946">
        <v>15</v>
      </c>
      <c r="E946" t="s">
        <v>325</v>
      </c>
      <c r="F946" s="21">
        <v>37350</v>
      </c>
      <c r="G946" s="24" t="s">
        <v>307</v>
      </c>
      <c r="H946" t="s">
        <v>293</v>
      </c>
      <c r="I946" t="s">
        <v>34</v>
      </c>
      <c r="J946" t="s">
        <v>71</v>
      </c>
      <c r="K946" t="s">
        <v>75</v>
      </c>
    </row>
    <row r="947" spans="1:13" hidden="1" x14ac:dyDescent="0.2">
      <c r="A947">
        <v>6</v>
      </c>
      <c r="B947" s="21">
        <v>46026</v>
      </c>
      <c r="C947" t="s">
        <v>325</v>
      </c>
      <c r="D947">
        <v>15</v>
      </c>
      <c r="E947" t="s">
        <v>325</v>
      </c>
      <c r="F947" s="21">
        <v>37350</v>
      </c>
      <c r="G947" s="24" t="s">
        <v>307</v>
      </c>
      <c r="H947" t="s">
        <v>292</v>
      </c>
      <c r="I947" t="s">
        <v>23</v>
      </c>
      <c r="J947" t="s">
        <v>66</v>
      </c>
      <c r="K947" t="s">
        <v>69</v>
      </c>
    </row>
    <row r="948" spans="1:13" hidden="1" x14ac:dyDescent="0.2">
      <c r="A948">
        <v>6</v>
      </c>
      <c r="B948" s="21">
        <v>46026</v>
      </c>
      <c r="C948" t="s">
        <v>325</v>
      </c>
      <c r="D948">
        <v>15</v>
      </c>
      <c r="E948" t="s">
        <v>325</v>
      </c>
      <c r="F948" s="21">
        <v>37350</v>
      </c>
      <c r="G948" s="24" t="s">
        <v>307</v>
      </c>
      <c r="H948" t="s">
        <v>290</v>
      </c>
      <c r="I948" t="s">
        <v>200</v>
      </c>
      <c r="J948" t="s">
        <v>71</v>
      </c>
      <c r="K948" t="s">
        <v>65</v>
      </c>
      <c r="L948" t="s">
        <v>202</v>
      </c>
    </row>
    <row r="949" spans="1:13" hidden="1" x14ac:dyDescent="0.2">
      <c r="A949">
        <v>6</v>
      </c>
      <c r="B949" s="21">
        <v>46026</v>
      </c>
      <c r="C949" t="s">
        <v>325</v>
      </c>
      <c r="D949">
        <v>15</v>
      </c>
      <c r="E949" t="s">
        <v>325</v>
      </c>
      <c r="F949" s="21">
        <v>37350</v>
      </c>
      <c r="G949" s="24" t="s">
        <v>307</v>
      </c>
      <c r="H949" t="s">
        <v>292</v>
      </c>
      <c r="I949" t="s">
        <v>311</v>
      </c>
      <c r="J949" t="s">
        <v>64</v>
      </c>
      <c r="K949" t="s">
        <v>74</v>
      </c>
      <c r="L949" t="s">
        <v>203</v>
      </c>
    </row>
    <row r="950" spans="1:13" hidden="1" x14ac:dyDescent="0.2">
      <c r="A950">
        <v>6</v>
      </c>
      <c r="B950" s="21">
        <v>46026</v>
      </c>
      <c r="C950" t="s">
        <v>325</v>
      </c>
      <c r="D950">
        <v>15</v>
      </c>
      <c r="E950" t="s">
        <v>325</v>
      </c>
      <c r="F950" s="21">
        <v>37350</v>
      </c>
      <c r="G950" s="24" t="s">
        <v>307</v>
      </c>
      <c r="H950" t="s">
        <v>293</v>
      </c>
      <c r="I950" t="s">
        <v>76</v>
      </c>
      <c r="J950" t="s">
        <v>66</v>
      </c>
      <c r="K950" t="s">
        <v>74</v>
      </c>
      <c r="L950" t="s">
        <v>203</v>
      </c>
    </row>
    <row r="951" spans="1:13" hidden="1" x14ac:dyDescent="0.2">
      <c r="A951">
        <v>6</v>
      </c>
      <c r="B951" s="21">
        <v>46026</v>
      </c>
      <c r="C951" t="s">
        <v>325</v>
      </c>
      <c r="D951">
        <v>15</v>
      </c>
      <c r="E951" t="s">
        <v>325</v>
      </c>
      <c r="F951" s="21">
        <v>37350</v>
      </c>
      <c r="G951" s="24" t="s">
        <v>307</v>
      </c>
      <c r="H951" t="s">
        <v>283</v>
      </c>
      <c r="I951" t="s">
        <v>199</v>
      </c>
      <c r="J951" t="s">
        <v>68</v>
      </c>
      <c r="K951" t="s">
        <v>67</v>
      </c>
      <c r="L951" t="s">
        <v>202</v>
      </c>
    </row>
    <row r="952" spans="1:13" hidden="1" x14ac:dyDescent="0.2">
      <c r="A952">
        <v>6</v>
      </c>
      <c r="B952" s="21">
        <v>46026</v>
      </c>
      <c r="C952" t="s">
        <v>325</v>
      </c>
      <c r="D952">
        <v>15</v>
      </c>
      <c r="E952" t="s">
        <v>325</v>
      </c>
      <c r="F952" s="21">
        <v>37350</v>
      </c>
      <c r="G952" s="24" t="s">
        <v>307</v>
      </c>
      <c r="H952" t="s">
        <v>290</v>
      </c>
      <c r="I952" t="s">
        <v>30</v>
      </c>
      <c r="J952" t="s">
        <v>66</v>
      </c>
      <c r="K952" t="s">
        <v>65</v>
      </c>
      <c r="L952" t="s">
        <v>202</v>
      </c>
    </row>
    <row r="953" spans="1:13" hidden="1" x14ac:dyDescent="0.2">
      <c r="A953">
        <v>6</v>
      </c>
      <c r="B953" s="21">
        <v>46026</v>
      </c>
      <c r="C953" t="s">
        <v>325</v>
      </c>
      <c r="D953">
        <v>15</v>
      </c>
      <c r="E953" t="s">
        <v>325</v>
      </c>
      <c r="F953" s="21">
        <v>37350</v>
      </c>
      <c r="G953" s="24" t="s">
        <v>307</v>
      </c>
      <c r="H953" t="s">
        <v>295</v>
      </c>
      <c r="I953" t="s">
        <v>6</v>
      </c>
      <c r="J953" t="s">
        <v>64</v>
      </c>
      <c r="K953" t="s">
        <v>74</v>
      </c>
      <c r="L953" t="s">
        <v>203</v>
      </c>
    </row>
    <row r="954" spans="1:13" hidden="1" x14ac:dyDescent="0.2">
      <c r="A954">
        <v>6</v>
      </c>
      <c r="B954" s="21">
        <v>46026</v>
      </c>
      <c r="C954" t="s">
        <v>325</v>
      </c>
      <c r="D954">
        <v>15</v>
      </c>
      <c r="E954" t="s">
        <v>325</v>
      </c>
      <c r="F954" s="21">
        <v>37350</v>
      </c>
      <c r="G954" s="24" t="s">
        <v>307</v>
      </c>
      <c r="H954" t="s">
        <v>292</v>
      </c>
      <c r="I954" t="s">
        <v>76</v>
      </c>
      <c r="J954" t="s">
        <v>64</v>
      </c>
      <c r="K954" t="s">
        <v>74</v>
      </c>
      <c r="L954" t="s">
        <v>203</v>
      </c>
      <c r="M954" t="s">
        <v>326</v>
      </c>
    </row>
    <row r="955" spans="1:13" hidden="1" x14ac:dyDescent="0.2">
      <c r="A955">
        <v>6</v>
      </c>
      <c r="B955" s="21">
        <v>46026</v>
      </c>
      <c r="C955" t="s">
        <v>325</v>
      </c>
      <c r="D955">
        <v>15</v>
      </c>
      <c r="E955" t="s">
        <v>325</v>
      </c>
      <c r="F955" s="21">
        <v>37350</v>
      </c>
      <c r="G955" s="24" t="s">
        <v>307</v>
      </c>
      <c r="H955" t="s">
        <v>306</v>
      </c>
      <c r="I955" t="s">
        <v>76</v>
      </c>
      <c r="J955" t="s">
        <v>66</v>
      </c>
      <c r="K955" t="s">
        <v>74</v>
      </c>
      <c r="L955" t="s">
        <v>203</v>
      </c>
    </row>
    <row r="956" spans="1:13" hidden="1" x14ac:dyDescent="0.2">
      <c r="A956">
        <v>6</v>
      </c>
      <c r="B956" s="21">
        <v>46026</v>
      </c>
      <c r="C956" t="s">
        <v>325</v>
      </c>
      <c r="D956">
        <v>15</v>
      </c>
      <c r="E956" t="s">
        <v>325</v>
      </c>
      <c r="F956" s="21">
        <v>37350</v>
      </c>
      <c r="G956" s="24" t="s">
        <v>307</v>
      </c>
      <c r="H956" t="s">
        <v>292</v>
      </c>
      <c r="I956" t="s">
        <v>199</v>
      </c>
      <c r="J956" t="s">
        <v>71</v>
      </c>
      <c r="K956" t="s">
        <v>73</v>
      </c>
      <c r="L956" t="s">
        <v>203</v>
      </c>
    </row>
    <row r="957" spans="1:13" hidden="1" x14ac:dyDescent="0.2">
      <c r="A957">
        <v>6</v>
      </c>
      <c r="B957" s="21">
        <v>46026</v>
      </c>
      <c r="C957" t="s">
        <v>325</v>
      </c>
      <c r="D957">
        <v>15</v>
      </c>
      <c r="E957" t="s">
        <v>325</v>
      </c>
      <c r="F957" s="21">
        <v>37350</v>
      </c>
      <c r="G957" s="24" t="s">
        <v>307</v>
      </c>
      <c r="H957" t="s">
        <v>292</v>
      </c>
      <c r="I957" t="s">
        <v>9</v>
      </c>
      <c r="J957" t="s">
        <v>66</v>
      </c>
      <c r="K957" t="s">
        <v>69</v>
      </c>
      <c r="L957" t="s">
        <v>204</v>
      </c>
    </row>
    <row r="958" spans="1:13" hidden="1" x14ac:dyDescent="0.2">
      <c r="A958">
        <v>6</v>
      </c>
      <c r="B958" s="21">
        <v>46026</v>
      </c>
      <c r="C958" t="s">
        <v>325</v>
      </c>
      <c r="D958">
        <v>15</v>
      </c>
      <c r="E958" t="s">
        <v>325</v>
      </c>
      <c r="F958" s="21">
        <v>37350</v>
      </c>
      <c r="G958" s="24" t="s">
        <v>307</v>
      </c>
      <c r="H958" t="s">
        <v>306</v>
      </c>
      <c r="I958" t="s">
        <v>14</v>
      </c>
      <c r="J958" t="s">
        <v>80</v>
      </c>
      <c r="K958" t="s">
        <v>69</v>
      </c>
      <c r="L958" t="s">
        <v>204</v>
      </c>
    </row>
    <row r="959" spans="1:13" hidden="1" x14ac:dyDescent="0.2">
      <c r="A959">
        <v>6</v>
      </c>
      <c r="B959" s="21">
        <v>46026</v>
      </c>
      <c r="C959" t="s">
        <v>325</v>
      </c>
      <c r="D959">
        <v>15</v>
      </c>
      <c r="E959" t="s">
        <v>325</v>
      </c>
      <c r="F959" s="21">
        <v>37350</v>
      </c>
      <c r="G959" s="24" t="s">
        <v>307</v>
      </c>
      <c r="H959" t="s">
        <v>293</v>
      </c>
      <c r="I959" t="s">
        <v>261</v>
      </c>
      <c r="J959" t="s">
        <v>66</v>
      </c>
      <c r="K959" t="s">
        <v>70</v>
      </c>
      <c r="L959" t="s">
        <v>203</v>
      </c>
      <c r="M959" t="s">
        <v>327</v>
      </c>
    </row>
    <row r="960" spans="1:13" hidden="1" x14ac:dyDescent="0.2">
      <c r="A960">
        <v>6</v>
      </c>
      <c r="B960" s="21">
        <v>46026</v>
      </c>
      <c r="C960" t="s">
        <v>325</v>
      </c>
      <c r="D960">
        <v>15</v>
      </c>
      <c r="E960" t="s">
        <v>325</v>
      </c>
      <c r="F960" s="21">
        <v>37350</v>
      </c>
      <c r="G960" s="24" t="s">
        <v>307</v>
      </c>
      <c r="H960" t="s">
        <v>283</v>
      </c>
      <c r="I960" t="s">
        <v>30</v>
      </c>
      <c r="J960" t="s">
        <v>66</v>
      </c>
      <c r="K960" t="s">
        <v>67</v>
      </c>
      <c r="L960" t="s">
        <v>202</v>
      </c>
    </row>
    <row r="961" spans="1:12" hidden="1" x14ac:dyDescent="0.2">
      <c r="A961">
        <v>6</v>
      </c>
      <c r="B961" s="21">
        <v>46026</v>
      </c>
      <c r="C961" t="s">
        <v>325</v>
      </c>
      <c r="D961">
        <v>15</v>
      </c>
      <c r="E961" t="s">
        <v>325</v>
      </c>
      <c r="F961" s="21">
        <v>37350</v>
      </c>
      <c r="G961" s="24" t="s">
        <v>307</v>
      </c>
      <c r="H961" t="s">
        <v>283</v>
      </c>
      <c r="I961" t="s">
        <v>76</v>
      </c>
      <c r="K961" t="s">
        <v>67</v>
      </c>
      <c r="L961" t="s">
        <v>202</v>
      </c>
    </row>
    <row r="962" spans="1:12" hidden="1" x14ac:dyDescent="0.2">
      <c r="A962">
        <v>6</v>
      </c>
      <c r="B962" s="21">
        <v>46026</v>
      </c>
      <c r="C962" t="s">
        <v>325</v>
      </c>
      <c r="D962">
        <v>15</v>
      </c>
      <c r="E962" t="s">
        <v>325</v>
      </c>
      <c r="F962" s="21">
        <v>37350</v>
      </c>
      <c r="G962" s="24" t="s">
        <v>307</v>
      </c>
      <c r="H962" t="s">
        <v>290</v>
      </c>
      <c r="I962" t="s">
        <v>200</v>
      </c>
      <c r="J962" t="s">
        <v>71</v>
      </c>
      <c r="K962" t="s">
        <v>65</v>
      </c>
      <c r="L962" t="s">
        <v>202</v>
      </c>
    </row>
    <row r="963" spans="1:12" hidden="1" x14ac:dyDescent="0.2">
      <c r="A963">
        <v>6</v>
      </c>
      <c r="B963" s="21">
        <v>46026</v>
      </c>
      <c r="C963" t="s">
        <v>325</v>
      </c>
      <c r="D963">
        <v>15</v>
      </c>
      <c r="E963" t="s">
        <v>325</v>
      </c>
      <c r="F963" s="21">
        <v>37350</v>
      </c>
      <c r="G963" s="24" t="s">
        <v>307</v>
      </c>
      <c r="H963" t="s">
        <v>295</v>
      </c>
      <c r="I963" t="s">
        <v>200</v>
      </c>
      <c r="J963" t="s">
        <v>71</v>
      </c>
      <c r="K963" t="s">
        <v>65</v>
      </c>
      <c r="L963" t="s">
        <v>202</v>
      </c>
    </row>
    <row r="964" spans="1:12" hidden="1" x14ac:dyDescent="0.2">
      <c r="A964">
        <v>6</v>
      </c>
      <c r="B964" s="21">
        <v>46026</v>
      </c>
      <c r="C964" t="s">
        <v>325</v>
      </c>
      <c r="D964">
        <v>15</v>
      </c>
      <c r="E964" t="s">
        <v>325</v>
      </c>
      <c r="F964" s="21">
        <v>37350</v>
      </c>
      <c r="G964" s="24" t="s">
        <v>307</v>
      </c>
      <c r="H964" t="s">
        <v>282</v>
      </c>
      <c r="I964" t="s">
        <v>6</v>
      </c>
      <c r="J964" t="s">
        <v>66</v>
      </c>
      <c r="K964" t="s">
        <v>65</v>
      </c>
      <c r="L964" t="s">
        <v>202</v>
      </c>
    </row>
    <row r="965" spans="1:12" hidden="1" x14ac:dyDescent="0.2">
      <c r="A965">
        <v>6</v>
      </c>
      <c r="B965" s="21">
        <v>46026</v>
      </c>
      <c r="C965" t="s">
        <v>325</v>
      </c>
      <c r="D965">
        <v>15</v>
      </c>
      <c r="E965" t="s">
        <v>325</v>
      </c>
      <c r="F965" s="21">
        <v>37350</v>
      </c>
      <c r="G965" s="24" t="s">
        <v>307</v>
      </c>
      <c r="H965" t="s">
        <v>305</v>
      </c>
      <c r="I965" t="s">
        <v>261</v>
      </c>
      <c r="J965" t="s">
        <v>66</v>
      </c>
      <c r="K965" t="s">
        <v>79</v>
      </c>
      <c r="L965" t="s">
        <v>203</v>
      </c>
    </row>
    <row r="966" spans="1:12" hidden="1" x14ac:dyDescent="0.2">
      <c r="A966">
        <v>6</v>
      </c>
      <c r="B966" s="21">
        <v>46026</v>
      </c>
      <c r="C966" t="s">
        <v>325</v>
      </c>
      <c r="D966">
        <v>15</v>
      </c>
      <c r="E966" t="s">
        <v>325</v>
      </c>
      <c r="F966" s="21">
        <v>37350</v>
      </c>
      <c r="G966" s="24" t="s">
        <v>307</v>
      </c>
      <c r="H966" t="s">
        <v>282</v>
      </c>
      <c r="I966" t="s">
        <v>30</v>
      </c>
      <c r="J966" t="s">
        <v>66</v>
      </c>
      <c r="K966" t="s">
        <v>72</v>
      </c>
      <c r="L966" t="s">
        <v>202</v>
      </c>
    </row>
    <row r="967" spans="1:12" hidden="1" x14ac:dyDescent="0.2">
      <c r="A967">
        <v>6</v>
      </c>
      <c r="B967" s="21">
        <v>46026</v>
      </c>
      <c r="C967" t="s">
        <v>325</v>
      </c>
      <c r="D967">
        <v>15</v>
      </c>
      <c r="E967" t="s">
        <v>325</v>
      </c>
      <c r="F967" s="21">
        <v>37350</v>
      </c>
      <c r="G967" s="24" t="s">
        <v>309</v>
      </c>
      <c r="H967" t="s">
        <v>292</v>
      </c>
      <c r="I967" t="s">
        <v>30</v>
      </c>
      <c r="J967" t="s">
        <v>71</v>
      </c>
      <c r="K967" t="s">
        <v>73</v>
      </c>
      <c r="L967" t="s">
        <v>203</v>
      </c>
    </row>
    <row r="968" spans="1:12" hidden="1" x14ac:dyDescent="0.2">
      <c r="A968">
        <v>6</v>
      </c>
      <c r="B968" s="21">
        <v>46026</v>
      </c>
      <c r="C968" t="s">
        <v>325</v>
      </c>
      <c r="D968">
        <v>15</v>
      </c>
      <c r="E968" t="s">
        <v>325</v>
      </c>
      <c r="F968" s="21">
        <v>37350</v>
      </c>
      <c r="G968" s="24" t="s">
        <v>309</v>
      </c>
      <c r="H968" t="s">
        <v>283</v>
      </c>
      <c r="I968" t="s">
        <v>200</v>
      </c>
      <c r="J968" t="s">
        <v>71</v>
      </c>
      <c r="K968" t="s">
        <v>65</v>
      </c>
      <c r="L968" t="s">
        <v>202</v>
      </c>
    </row>
    <row r="969" spans="1:12" hidden="1" x14ac:dyDescent="0.2">
      <c r="A969">
        <v>6</v>
      </c>
      <c r="B969" s="21">
        <v>46026</v>
      </c>
      <c r="C969" t="s">
        <v>325</v>
      </c>
      <c r="D969">
        <v>15</v>
      </c>
      <c r="E969" t="s">
        <v>325</v>
      </c>
      <c r="F969" s="21">
        <v>37350</v>
      </c>
      <c r="G969" s="24" t="s">
        <v>309</v>
      </c>
      <c r="H969" t="s">
        <v>293</v>
      </c>
      <c r="I969" t="s">
        <v>311</v>
      </c>
      <c r="J969" t="s">
        <v>64</v>
      </c>
      <c r="K969" t="s">
        <v>74</v>
      </c>
      <c r="L969" t="s">
        <v>203</v>
      </c>
    </row>
    <row r="970" spans="1:12" hidden="1" x14ac:dyDescent="0.2">
      <c r="A970">
        <v>6</v>
      </c>
      <c r="B970" s="21">
        <v>46026</v>
      </c>
      <c r="C970" t="s">
        <v>325</v>
      </c>
      <c r="D970">
        <v>15</v>
      </c>
      <c r="E970" t="s">
        <v>325</v>
      </c>
      <c r="F970" s="21">
        <v>37350</v>
      </c>
      <c r="G970" s="24" t="s">
        <v>309</v>
      </c>
      <c r="H970" t="s">
        <v>290</v>
      </c>
      <c r="I970" t="s">
        <v>30</v>
      </c>
      <c r="J970" t="s">
        <v>71</v>
      </c>
      <c r="K970" t="s">
        <v>74</v>
      </c>
      <c r="L970" t="s">
        <v>203</v>
      </c>
    </row>
    <row r="971" spans="1:12" hidden="1" x14ac:dyDescent="0.2">
      <c r="A971">
        <v>6</v>
      </c>
      <c r="B971" s="21">
        <v>46026</v>
      </c>
      <c r="C971" t="s">
        <v>325</v>
      </c>
      <c r="D971">
        <v>15</v>
      </c>
      <c r="E971" t="s">
        <v>325</v>
      </c>
      <c r="F971" s="21">
        <v>37350</v>
      </c>
      <c r="G971" s="24" t="s">
        <v>309</v>
      </c>
      <c r="H971" t="s">
        <v>294</v>
      </c>
      <c r="I971" t="s">
        <v>205</v>
      </c>
      <c r="J971" t="s">
        <v>66</v>
      </c>
      <c r="K971" t="s">
        <v>73</v>
      </c>
      <c r="L971" t="s">
        <v>203</v>
      </c>
    </row>
    <row r="972" spans="1:12" hidden="1" x14ac:dyDescent="0.2">
      <c r="A972">
        <v>6</v>
      </c>
      <c r="B972" s="21">
        <v>46026</v>
      </c>
      <c r="C972" t="s">
        <v>325</v>
      </c>
      <c r="D972">
        <v>15</v>
      </c>
      <c r="E972" t="s">
        <v>325</v>
      </c>
      <c r="F972" s="21">
        <v>37350</v>
      </c>
      <c r="G972" s="24" t="s">
        <v>309</v>
      </c>
      <c r="H972" t="s">
        <v>292</v>
      </c>
      <c r="I972" t="s">
        <v>199</v>
      </c>
      <c r="J972" t="s">
        <v>71</v>
      </c>
      <c r="K972" t="s">
        <v>75</v>
      </c>
      <c r="L972" t="s">
        <v>204</v>
      </c>
    </row>
    <row r="973" spans="1:12" hidden="1" x14ac:dyDescent="0.2">
      <c r="A973">
        <v>6</v>
      </c>
      <c r="B973" s="21">
        <v>46026</v>
      </c>
      <c r="C973" t="s">
        <v>325</v>
      </c>
      <c r="D973">
        <v>15</v>
      </c>
      <c r="E973" t="s">
        <v>325</v>
      </c>
      <c r="F973" s="21">
        <v>37350</v>
      </c>
      <c r="G973" s="24" t="s">
        <v>309</v>
      </c>
      <c r="H973" t="s">
        <v>292</v>
      </c>
      <c r="I973" t="s">
        <v>40</v>
      </c>
      <c r="J973" t="s">
        <v>66</v>
      </c>
      <c r="K973" t="s">
        <v>75</v>
      </c>
      <c r="L973" t="s">
        <v>204</v>
      </c>
    </row>
    <row r="974" spans="1:12" hidden="1" x14ac:dyDescent="0.2">
      <c r="A974">
        <v>6</v>
      </c>
      <c r="B974" s="21">
        <v>46026</v>
      </c>
      <c r="C974" t="s">
        <v>325</v>
      </c>
      <c r="D974">
        <v>15</v>
      </c>
      <c r="E974" t="s">
        <v>325</v>
      </c>
      <c r="F974" s="21">
        <v>37350</v>
      </c>
      <c r="G974" s="24" t="s">
        <v>309</v>
      </c>
      <c r="H974" t="s">
        <v>293</v>
      </c>
      <c r="I974" t="s">
        <v>261</v>
      </c>
      <c r="J974" t="s">
        <v>66</v>
      </c>
      <c r="K974" t="s">
        <v>70</v>
      </c>
      <c r="L974" t="s">
        <v>203</v>
      </c>
    </row>
    <row r="975" spans="1:12" hidden="1" x14ac:dyDescent="0.2">
      <c r="A975">
        <v>6</v>
      </c>
      <c r="B975" s="21">
        <v>46026</v>
      </c>
      <c r="C975" t="s">
        <v>325</v>
      </c>
      <c r="D975">
        <v>15</v>
      </c>
      <c r="E975" t="s">
        <v>325</v>
      </c>
      <c r="F975" s="21">
        <v>37350</v>
      </c>
      <c r="G975" s="24" t="s">
        <v>309</v>
      </c>
      <c r="H975" t="s">
        <v>292</v>
      </c>
      <c r="I975" t="s">
        <v>30</v>
      </c>
      <c r="J975" t="s">
        <v>64</v>
      </c>
      <c r="K975" t="s">
        <v>73</v>
      </c>
      <c r="L975" t="s">
        <v>203</v>
      </c>
    </row>
    <row r="976" spans="1:12" hidden="1" x14ac:dyDescent="0.2">
      <c r="A976">
        <v>6</v>
      </c>
      <c r="B976" s="21">
        <v>46026</v>
      </c>
      <c r="C976" t="s">
        <v>325</v>
      </c>
      <c r="D976">
        <v>15</v>
      </c>
      <c r="E976" t="s">
        <v>325</v>
      </c>
      <c r="F976" s="21">
        <v>37350</v>
      </c>
      <c r="G976" s="24" t="s">
        <v>309</v>
      </c>
      <c r="H976" t="s">
        <v>282</v>
      </c>
      <c r="I976" t="s">
        <v>30</v>
      </c>
      <c r="J976" t="s">
        <v>64</v>
      </c>
      <c r="K976" t="s">
        <v>73</v>
      </c>
      <c r="L976" t="s">
        <v>203</v>
      </c>
    </row>
    <row r="977" spans="1:12" hidden="1" x14ac:dyDescent="0.2">
      <c r="A977">
        <v>6</v>
      </c>
      <c r="B977" s="21">
        <v>46026</v>
      </c>
      <c r="C977" t="s">
        <v>325</v>
      </c>
      <c r="D977">
        <v>15</v>
      </c>
      <c r="E977" t="s">
        <v>325</v>
      </c>
      <c r="F977" s="21">
        <v>37350</v>
      </c>
      <c r="G977" s="24" t="s">
        <v>309</v>
      </c>
      <c r="H977" t="s">
        <v>294</v>
      </c>
      <c r="I977" t="s">
        <v>199</v>
      </c>
      <c r="J977" t="s">
        <v>71</v>
      </c>
      <c r="K977" t="s">
        <v>74</v>
      </c>
      <c r="L977" t="s">
        <v>203</v>
      </c>
    </row>
    <row r="978" spans="1:12" hidden="1" x14ac:dyDescent="0.2">
      <c r="A978">
        <v>6</v>
      </c>
      <c r="B978" s="21">
        <v>46026</v>
      </c>
      <c r="C978" t="s">
        <v>325</v>
      </c>
      <c r="D978">
        <v>15</v>
      </c>
      <c r="E978" t="s">
        <v>325</v>
      </c>
      <c r="F978" s="21">
        <v>37350</v>
      </c>
      <c r="G978" s="24" t="s">
        <v>309</v>
      </c>
      <c r="H978" t="s">
        <v>287</v>
      </c>
      <c r="I978" t="s">
        <v>6</v>
      </c>
      <c r="J978" t="s">
        <v>64</v>
      </c>
      <c r="K978" t="s">
        <v>73</v>
      </c>
      <c r="L978" t="s">
        <v>203</v>
      </c>
    </row>
    <row r="979" spans="1:12" x14ac:dyDescent="0.2">
      <c r="A979">
        <v>6</v>
      </c>
      <c r="B979" s="21">
        <v>46026</v>
      </c>
      <c r="C979" t="s">
        <v>325</v>
      </c>
      <c r="D979">
        <v>15</v>
      </c>
      <c r="E979" t="s">
        <v>325</v>
      </c>
      <c r="F979" s="21">
        <v>37350</v>
      </c>
      <c r="G979" s="24" t="s">
        <v>309</v>
      </c>
      <c r="H979" t="s">
        <v>283</v>
      </c>
      <c r="I979" t="s">
        <v>30</v>
      </c>
      <c r="J979" t="s">
        <v>64</v>
      </c>
      <c r="K979" t="s">
        <v>78</v>
      </c>
      <c r="L979" t="s">
        <v>202</v>
      </c>
    </row>
    <row r="980" spans="1:12" x14ac:dyDescent="0.2">
      <c r="A980">
        <v>6</v>
      </c>
      <c r="B980" s="21">
        <v>46026</v>
      </c>
      <c r="C980" t="s">
        <v>325</v>
      </c>
      <c r="D980">
        <v>15</v>
      </c>
      <c r="E980" t="s">
        <v>325</v>
      </c>
      <c r="F980" s="21">
        <v>37350</v>
      </c>
      <c r="G980" s="24" t="s">
        <v>309</v>
      </c>
      <c r="H980" t="s">
        <v>290</v>
      </c>
      <c r="I980" t="s">
        <v>30</v>
      </c>
      <c r="J980" t="s">
        <v>64</v>
      </c>
      <c r="K980" t="s">
        <v>78</v>
      </c>
      <c r="L980" t="s">
        <v>202</v>
      </c>
    </row>
    <row r="981" spans="1:12" hidden="1" x14ac:dyDescent="0.2">
      <c r="A981">
        <v>6</v>
      </c>
      <c r="B981" s="21">
        <v>46026</v>
      </c>
      <c r="C981" t="s">
        <v>325</v>
      </c>
      <c r="D981">
        <v>15</v>
      </c>
      <c r="E981" t="s">
        <v>325</v>
      </c>
      <c r="F981" s="21">
        <v>37350</v>
      </c>
      <c r="G981" s="24" t="s">
        <v>309</v>
      </c>
      <c r="H981" t="s">
        <v>282</v>
      </c>
      <c r="I981" t="s">
        <v>32</v>
      </c>
      <c r="J981" t="s">
        <v>64</v>
      </c>
      <c r="K981" t="s">
        <v>74</v>
      </c>
      <c r="L981" t="s">
        <v>203</v>
      </c>
    </row>
    <row r="982" spans="1:12" hidden="1" x14ac:dyDescent="0.2">
      <c r="A982">
        <v>6</v>
      </c>
      <c r="B982" s="21">
        <v>46026</v>
      </c>
      <c r="C982" t="s">
        <v>325</v>
      </c>
      <c r="D982">
        <v>15</v>
      </c>
      <c r="E982" t="s">
        <v>325</v>
      </c>
      <c r="F982" s="21">
        <v>37350</v>
      </c>
      <c r="G982" s="24" t="s">
        <v>309</v>
      </c>
      <c r="H982" t="s">
        <v>292</v>
      </c>
      <c r="I982" t="s">
        <v>200</v>
      </c>
      <c r="J982" t="s">
        <v>71</v>
      </c>
      <c r="K982" t="s">
        <v>75</v>
      </c>
      <c r="L982" t="s">
        <v>204</v>
      </c>
    </row>
    <row r="983" spans="1:12" hidden="1" x14ac:dyDescent="0.2">
      <c r="A983">
        <v>6</v>
      </c>
      <c r="B983" s="21">
        <v>46026</v>
      </c>
      <c r="C983" t="s">
        <v>325</v>
      </c>
      <c r="D983">
        <v>15</v>
      </c>
      <c r="E983" t="s">
        <v>325</v>
      </c>
      <c r="F983" s="21">
        <v>37350</v>
      </c>
      <c r="G983" s="24" t="s">
        <v>309</v>
      </c>
      <c r="H983" t="s">
        <v>294</v>
      </c>
      <c r="I983" t="s">
        <v>311</v>
      </c>
      <c r="J983" t="s">
        <v>64</v>
      </c>
      <c r="K983" t="s">
        <v>73</v>
      </c>
      <c r="L983" t="s">
        <v>203</v>
      </c>
    </row>
    <row r="984" spans="1:12" hidden="1" x14ac:dyDescent="0.2">
      <c r="A984">
        <v>6</v>
      </c>
      <c r="B984" s="21">
        <v>46026</v>
      </c>
      <c r="C984" t="s">
        <v>325</v>
      </c>
      <c r="D984">
        <v>15</v>
      </c>
      <c r="E984" t="s">
        <v>325</v>
      </c>
      <c r="F984" s="21">
        <v>37350</v>
      </c>
      <c r="G984" s="24" t="s">
        <v>309</v>
      </c>
      <c r="H984" t="s">
        <v>292</v>
      </c>
      <c r="I984" t="s">
        <v>199</v>
      </c>
      <c r="J984" t="s">
        <v>71</v>
      </c>
      <c r="K984" t="s">
        <v>75</v>
      </c>
      <c r="L984" t="s">
        <v>204</v>
      </c>
    </row>
    <row r="985" spans="1:12" hidden="1" x14ac:dyDescent="0.2">
      <c r="A985">
        <v>6</v>
      </c>
      <c r="B985" s="21">
        <v>46026</v>
      </c>
      <c r="C985" t="s">
        <v>325</v>
      </c>
      <c r="D985">
        <v>15</v>
      </c>
      <c r="E985" t="s">
        <v>325</v>
      </c>
      <c r="F985" s="21">
        <v>37350</v>
      </c>
      <c r="G985" s="24" t="s">
        <v>309</v>
      </c>
      <c r="H985" t="s">
        <v>292</v>
      </c>
      <c r="I985" t="s">
        <v>40</v>
      </c>
      <c r="K985" t="s">
        <v>79</v>
      </c>
      <c r="L985" t="s">
        <v>203</v>
      </c>
    </row>
    <row r="986" spans="1:12" hidden="1" x14ac:dyDescent="0.2">
      <c r="A986">
        <v>6</v>
      </c>
      <c r="B986" s="21">
        <v>46026</v>
      </c>
      <c r="C986" t="s">
        <v>325</v>
      </c>
      <c r="D986">
        <v>15</v>
      </c>
      <c r="E986" t="s">
        <v>325</v>
      </c>
      <c r="F986" s="21">
        <v>37350</v>
      </c>
      <c r="G986" s="24" t="s">
        <v>309</v>
      </c>
      <c r="H986" t="s">
        <v>287</v>
      </c>
      <c r="I986" t="s">
        <v>14</v>
      </c>
      <c r="J986" t="s">
        <v>80</v>
      </c>
      <c r="K986" t="s">
        <v>75</v>
      </c>
      <c r="L986" t="s">
        <v>204</v>
      </c>
    </row>
    <row r="987" spans="1:12" hidden="1" x14ac:dyDescent="0.2">
      <c r="A987">
        <v>6</v>
      </c>
      <c r="B987" s="21">
        <v>46026</v>
      </c>
      <c r="C987" t="s">
        <v>325</v>
      </c>
      <c r="D987">
        <v>15</v>
      </c>
      <c r="E987" t="s">
        <v>325</v>
      </c>
      <c r="F987" s="21">
        <v>37350</v>
      </c>
      <c r="G987" s="24" t="s">
        <v>309</v>
      </c>
      <c r="H987" t="s">
        <v>290</v>
      </c>
      <c r="I987" t="s">
        <v>30</v>
      </c>
      <c r="J987" t="s">
        <v>66</v>
      </c>
      <c r="K987" t="s">
        <v>65</v>
      </c>
      <c r="L987" t="s">
        <v>202</v>
      </c>
    </row>
    <row r="988" spans="1:12" hidden="1" x14ac:dyDescent="0.2">
      <c r="A988">
        <v>6</v>
      </c>
      <c r="B988" s="21">
        <v>46026</v>
      </c>
      <c r="C988" t="s">
        <v>325</v>
      </c>
      <c r="D988">
        <v>15</v>
      </c>
      <c r="E988" t="s">
        <v>325</v>
      </c>
      <c r="F988" s="21">
        <v>37350</v>
      </c>
      <c r="G988" s="24" t="s">
        <v>309</v>
      </c>
      <c r="H988" t="s">
        <v>295</v>
      </c>
      <c r="I988" t="s">
        <v>30</v>
      </c>
      <c r="J988" t="s">
        <v>66</v>
      </c>
      <c r="K988" t="s">
        <v>65</v>
      </c>
      <c r="L988" t="s">
        <v>202</v>
      </c>
    </row>
    <row r="989" spans="1:12" hidden="1" x14ac:dyDescent="0.2">
      <c r="A989">
        <v>6</v>
      </c>
      <c r="B989" s="21">
        <v>46026</v>
      </c>
      <c r="C989" t="s">
        <v>325</v>
      </c>
      <c r="D989">
        <v>15</v>
      </c>
      <c r="E989" t="s">
        <v>325</v>
      </c>
      <c r="F989" s="21">
        <v>37350</v>
      </c>
      <c r="G989" s="24" t="s">
        <v>309</v>
      </c>
      <c r="H989" t="s">
        <v>306</v>
      </c>
      <c r="I989" t="s">
        <v>200</v>
      </c>
      <c r="J989" t="s">
        <v>71</v>
      </c>
      <c r="K989" t="s">
        <v>75</v>
      </c>
      <c r="L989" t="s">
        <v>204</v>
      </c>
    </row>
    <row r="990" spans="1:12" hidden="1" x14ac:dyDescent="0.2">
      <c r="A990">
        <v>6</v>
      </c>
      <c r="B990" s="21">
        <v>46026</v>
      </c>
      <c r="C990" t="s">
        <v>325</v>
      </c>
      <c r="D990">
        <v>15</v>
      </c>
      <c r="E990" t="s">
        <v>325</v>
      </c>
      <c r="F990" s="21">
        <v>37350</v>
      </c>
      <c r="G990" s="24" t="s">
        <v>309</v>
      </c>
      <c r="H990" t="s">
        <v>292</v>
      </c>
      <c r="I990" t="s">
        <v>311</v>
      </c>
      <c r="J990" t="s">
        <v>71</v>
      </c>
      <c r="K990" t="s">
        <v>75</v>
      </c>
      <c r="L990" t="s">
        <v>204</v>
      </c>
    </row>
    <row r="991" spans="1:12" hidden="1" x14ac:dyDescent="0.2">
      <c r="A991">
        <v>6</v>
      </c>
      <c r="B991" s="21">
        <v>46026</v>
      </c>
      <c r="C991" t="s">
        <v>325</v>
      </c>
      <c r="D991">
        <v>15</v>
      </c>
      <c r="E991" t="s">
        <v>325</v>
      </c>
      <c r="F991" s="21">
        <v>37350</v>
      </c>
      <c r="G991" s="24" t="s">
        <v>309</v>
      </c>
      <c r="H991" t="s">
        <v>282</v>
      </c>
      <c r="I991" t="s">
        <v>30</v>
      </c>
      <c r="J991" t="s">
        <v>71</v>
      </c>
      <c r="K991" t="s">
        <v>74</v>
      </c>
      <c r="L991" t="s">
        <v>203</v>
      </c>
    </row>
    <row r="992" spans="1:12" hidden="1" x14ac:dyDescent="0.2">
      <c r="A992">
        <v>6</v>
      </c>
      <c r="B992" s="21">
        <v>46026</v>
      </c>
      <c r="C992" t="s">
        <v>325</v>
      </c>
      <c r="D992">
        <v>15</v>
      </c>
      <c r="E992" t="s">
        <v>325</v>
      </c>
      <c r="F992" s="21">
        <v>37350</v>
      </c>
      <c r="G992" s="24" t="s">
        <v>309</v>
      </c>
      <c r="H992" t="s">
        <v>292</v>
      </c>
      <c r="I992" t="s">
        <v>200</v>
      </c>
      <c r="J992" t="s">
        <v>71</v>
      </c>
      <c r="K992" t="s">
        <v>74</v>
      </c>
      <c r="L992" t="s">
        <v>203</v>
      </c>
    </row>
    <row r="993" spans="1:12" hidden="1" x14ac:dyDescent="0.2">
      <c r="A993">
        <v>6</v>
      </c>
      <c r="B993" s="21">
        <v>46026</v>
      </c>
      <c r="C993" t="s">
        <v>325</v>
      </c>
      <c r="D993">
        <v>15</v>
      </c>
      <c r="E993" t="s">
        <v>325</v>
      </c>
      <c r="F993" s="21">
        <v>37350</v>
      </c>
      <c r="G993" s="24" t="s">
        <v>309</v>
      </c>
      <c r="H993" t="s">
        <v>282</v>
      </c>
      <c r="I993" t="s">
        <v>311</v>
      </c>
      <c r="J993" t="s">
        <v>71</v>
      </c>
      <c r="K993" t="s">
        <v>74</v>
      </c>
      <c r="L993" t="s">
        <v>203</v>
      </c>
    </row>
    <row r="994" spans="1:12" hidden="1" x14ac:dyDescent="0.2">
      <c r="A994">
        <v>6</v>
      </c>
      <c r="B994" s="21">
        <v>46026</v>
      </c>
      <c r="C994" t="s">
        <v>325</v>
      </c>
      <c r="D994">
        <v>15</v>
      </c>
      <c r="E994" t="s">
        <v>325</v>
      </c>
      <c r="F994" s="21">
        <v>37350</v>
      </c>
      <c r="G994" s="24" t="s">
        <v>309</v>
      </c>
      <c r="H994" t="s">
        <v>282</v>
      </c>
      <c r="I994" t="s">
        <v>205</v>
      </c>
      <c r="J994" t="s">
        <v>71</v>
      </c>
      <c r="K994" t="s">
        <v>74</v>
      </c>
      <c r="L994" t="s">
        <v>203</v>
      </c>
    </row>
    <row r="995" spans="1:12" hidden="1" x14ac:dyDescent="0.2">
      <c r="A995">
        <v>6</v>
      </c>
      <c r="B995" s="21">
        <v>46026</v>
      </c>
      <c r="C995" t="s">
        <v>325</v>
      </c>
      <c r="D995">
        <v>15</v>
      </c>
      <c r="E995" t="s">
        <v>325</v>
      </c>
      <c r="F995" s="21">
        <v>37350</v>
      </c>
      <c r="G995" s="24" t="s">
        <v>312</v>
      </c>
      <c r="H995" t="s">
        <v>283</v>
      </c>
      <c r="I995" t="s">
        <v>200</v>
      </c>
      <c r="J995" t="s">
        <v>71</v>
      </c>
      <c r="K995" t="s">
        <v>74</v>
      </c>
      <c r="L995" t="s">
        <v>203</v>
      </c>
    </row>
    <row r="996" spans="1:12" hidden="1" x14ac:dyDescent="0.2">
      <c r="A996">
        <v>6</v>
      </c>
      <c r="B996" s="21">
        <v>46026</v>
      </c>
      <c r="C996" t="s">
        <v>325</v>
      </c>
      <c r="D996">
        <v>15</v>
      </c>
      <c r="E996" t="s">
        <v>325</v>
      </c>
      <c r="F996" s="21">
        <v>37350</v>
      </c>
      <c r="G996" s="24" t="s">
        <v>312</v>
      </c>
      <c r="H996" t="s">
        <v>293</v>
      </c>
      <c r="I996" t="s">
        <v>311</v>
      </c>
      <c r="J996" t="s">
        <v>71</v>
      </c>
      <c r="K996" t="s">
        <v>74</v>
      </c>
      <c r="L996" t="s">
        <v>203</v>
      </c>
    </row>
    <row r="997" spans="1:12" x14ac:dyDescent="0.2">
      <c r="A997">
        <v>6</v>
      </c>
      <c r="B997" s="21">
        <v>46026</v>
      </c>
      <c r="C997" t="s">
        <v>325</v>
      </c>
      <c r="D997">
        <v>15</v>
      </c>
      <c r="E997" t="s">
        <v>325</v>
      </c>
      <c r="F997" s="21">
        <v>37350</v>
      </c>
      <c r="G997" s="24" t="s">
        <v>312</v>
      </c>
      <c r="H997" t="s">
        <v>306</v>
      </c>
      <c r="I997" t="s">
        <v>199</v>
      </c>
      <c r="J997" t="s">
        <v>71</v>
      </c>
      <c r="K997" t="s">
        <v>78</v>
      </c>
      <c r="L997" t="s">
        <v>204</v>
      </c>
    </row>
    <row r="998" spans="1:12" x14ac:dyDescent="0.2">
      <c r="A998">
        <v>6</v>
      </c>
      <c r="B998" s="21">
        <v>46026</v>
      </c>
      <c r="C998" t="s">
        <v>325</v>
      </c>
      <c r="D998">
        <v>15</v>
      </c>
      <c r="E998" t="s">
        <v>325</v>
      </c>
      <c r="F998" s="21">
        <v>37350</v>
      </c>
      <c r="G998" s="24" t="s">
        <v>312</v>
      </c>
      <c r="H998" t="s">
        <v>292</v>
      </c>
      <c r="I998" t="s">
        <v>311</v>
      </c>
      <c r="J998" t="s">
        <v>66</v>
      </c>
      <c r="K998" t="s">
        <v>78</v>
      </c>
      <c r="L998" t="s">
        <v>203</v>
      </c>
    </row>
    <row r="999" spans="1:12" hidden="1" x14ac:dyDescent="0.2">
      <c r="A999">
        <v>6</v>
      </c>
      <c r="B999" s="21">
        <v>46026</v>
      </c>
      <c r="C999" t="s">
        <v>325</v>
      </c>
      <c r="D999">
        <v>15</v>
      </c>
      <c r="E999" t="s">
        <v>325</v>
      </c>
      <c r="F999" s="21">
        <v>37350</v>
      </c>
      <c r="G999" s="24" t="s">
        <v>312</v>
      </c>
      <c r="H999" t="s">
        <v>293</v>
      </c>
      <c r="I999" t="s">
        <v>200</v>
      </c>
      <c r="J999" t="s">
        <v>68</v>
      </c>
      <c r="K999" t="s">
        <v>74</v>
      </c>
      <c r="L999" t="s">
        <v>203</v>
      </c>
    </row>
    <row r="1000" spans="1:12" hidden="1" x14ac:dyDescent="0.2">
      <c r="A1000">
        <v>6</v>
      </c>
      <c r="B1000" s="21">
        <v>46026</v>
      </c>
      <c r="C1000" t="s">
        <v>325</v>
      </c>
      <c r="D1000">
        <v>15</v>
      </c>
      <c r="E1000" t="s">
        <v>325</v>
      </c>
      <c r="F1000" s="21">
        <v>37350</v>
      </c>
      <c r="G1000" s="24" t="s">
        <v>312</v>
      </c>
      <c r="H1000" t="s">
        <v>294</v>
      </c>
      <c r="I1000" t="s">
        <v>311</v>
      </c>
      <c r="J1000" t="s">
        <v>68</v>
      </c>
      <c r="K1000" t="s">
        <v>74</v>
      </c>
      <c r="L1000" t="s">
        <v>203</v>
      </c>
    </row>
    <row r="1001" spans="1:12" hidden="1" x14ac:dyDescent="0.2">
      <c r="A1001">
        <v>6</v>
      </c>
      <c r="B1001" s="21">
        <v>46026</v>
      </c>
      <c r="C1001" t="s">
        <v>325</v>
      </c>
      <c r="D1001">
        <v>15</v>
      </c>
      <c r="E1001" t="s">
        <v>325</v>
      </c>
      <c r="F1001" s="21">
        <v>37350</v>
      </c>
      <c r="G1001" s="24" t="s">
        <v>312</v>
      </c>
      <c r="H1001" t="s">
        <v>283</v>
      </c>
      <c r="I1001" t="s">
        <v>30</v>
      </c>
      <c r="J1001" t="s">
        <v>71</v>
      </c>
      <c r="K1001" t="s">
        <v>74</v>
      </c>
      <c r="L1001" t="s">
        <v>203</v>
      </c>
    </row>
    <row r="1002" spans="1:12" hidden="1" x14ac:dyDescent="0.2">
      <c r="A1002">
        <v>6</v>
      </c>
      <c r="B1002" s="21">
        <v>46026</v>
      </c>
      <c r="C1002" t="s">
        <v>325</v>
      </c>
      <c r="D1002">
        <v>15</v>
      </c>
      <c r="E1002" t="s">
        <v>325</v>
      </c>
      <c r="F1002" s="21">
        <v>37350</v>
      </c>
      <c r="G1002" s="24" t="s">
        <v>312</v>
      </c>
      <c r="H1002" t="s">
        <v>294</v>
      </c>
      <c r="I1002" t="s">
        <v>30</v>
      </c>
      <c r="J1002" t="s">
        <v>66</v>
      </c>
      <c r="K1002" t="s">
        <v>74</v>
      </c>
      <c r="L1002" t="s">
        <v>203</v>
      </c>
    </row>
    <row r="1003" spans="1:12" hidden="1" x14ac:dyDescent="0.2">
      <c r="A1003">
        <v>6</v>
      </c>
      <c r="B1003" s="21">
        <v>46026</v>
      </c>
      <c r="C1003" t="s">
        <v>325</v>
      </c>
      <c r="D1003">
        <v>15</v>
      </c>
      <c r="E1003" t="s">
        <v>325</v>
      </c>
      <c r="F1003" s="21">
        <v>37350</v>
      </c>
      <c r="G1003" s="24" t="s">
        <v>312</v>
      </c>
      <c r="H1003" t="s">
        <v>293</v>
      </c>
      <c r="I1003" t="s">
        <v>205</v>
      </c>
      <c r="J1003" t="s">
        <v>66</v>
      </c>
      <c r="K1003" t="s">
        <v>74</v>
      </c>
      <c r="L1003" t="s">
        <v>203</v>
      </c>
    </row>
    <row r="1004" spans="1:12" x14ac:dyDescent="0.2">
      <c r="A1004">
        <v>6</v>
      </c>
      <c r="B1004" s="21">
        <v>46026</v>
      </c>
      <c r="C1004" t="s">
        <v>325</v>
      </c>
      <c r="D1004">
        <v>15</v>
      </c>
      <c r="E1004" t="s">
        <v>325</v>
      </c>
      <c r="F1004" s="21">
        <v>37350</v>
      </c>
      <c r="G1004" s="24" t="s">
        <v>312</v>
      </c>
      <c r="H1004" t="s">
        <v>306</v>
      </c>
      <c r="I1004" t="s">
        <v>199</v>
      </c>
      <c r="J1004" t="s">
        <v>68</v>
      </c>
      <c r="K1004" t="s">
        <v>78</v>
      </c>
      <c r="L1004" t="s">
        <v>204</v>
      </c>
    </row>
    <row r="1005" spans="1:12" x14ac:dyDescent="0.2">
      <c r="A1005">
        <v>6</v>
      </c>
      <c r="B1005" s="21">
        <v>46026</v>
      </c>
      <c r="C1005" t="s">
        <v>325</v>
      </c>
      <c r="D1005">
        <v>15</v>
      </c>
      <c r="E1005" t="s">
        <v>325</v>
      </c>
      <c r="F1005" s="21">
        <v>37350</v>
      </c>
      <c r="G1005" s="24" t="s">
        <v>312</v>
      </c>
      <c r="H1005" t="s">
        <v>287</v>
      </c>
      <c r="I1005" t="s">
        <v>311</v>
      </c>
      <c r="J1005" t="s">
        <v>66</v>
      </c>
      <c r="K1005" t="s">
        <v>78</v>
      </c>
      <c r="L1005" t="s">
        <v>204</v>
      </c>
    </row>
    <row r="1006" spans="1:12" x14ac:dyDescent="0.2">
      <c r="A1006">
        <v>6</v>
      </c>
      <c r="B1006" s="21">
        <v>46026</v>
      </c>
      <c r="C1006" t="s">
        <v>325</v>
      </c>
      <c r="D1006">
        <v>15</v>
      </c>
      <c r="E1006" t="s">
        <v>325</v>
      </c>
      <c r="F1006" s="21">
        <v>37350</v>
      </c>
      <c r="G1006" s="24" t="s">
        <v>312</v>
      </c>
      <c r="H1006" t="s">
        <v>287</v>
      </c>
      <c r="I1006" t="s">
        <v>38</v>
      </c>
      <c r="J1006" t="s">
        <v>66</v>
      </c>
      <c r="K1006" t="s">
        <v>78</v>
      </c>
      <c r="L1006" t="s">
        <v>204</v>
      </c>
    </row>
    <row r="1007" spans="1:12" hidden="1" x14ac:dyDescent="0.2">
      <c r="A1007">
        <v>6</v>
      </c>
      <c r="B1007" s="21">
        <v>46026</v>
      </c>
      <c r="C1007" t="s">
        <v>325</v>
      </c>
      <c r="D1007">
        <v>15</v>
      </c>
      <c r="E1007" t="s">
        <v>325</v>
      </c>
      <c r="F1007" s="21">
        <v>37350</v>
      </c>
      <c r="G1007" s="24" t="s">
        <v>312</v>
      </c>
      <c r="H1007" t="s">
        <v>295</v>
      </c>
      <c r="I1007" t="s">
        <v>200</v>
      </c>
      <c r="J1007" t="s">
        <v>71</v>
      </c>
      <c r="K1007" t="s">
        <v>72</v>
      </c>
      <c r="L1007" t="s">
        <v>202</v>
      </c>
    </row>
    <row r="1008" spans="1:12" hidden="1" x14ac:dyDescent="0.2">
      <c r="A1008">
        <v>6</v>
      </c>
      <c r="B1008" s="21">
        <v>46026</v>
      </c>
      <c r="C1008" t="s">
        <v>325</v>
      </c>
      <c r="D1008">
        <v>15</v>
      </c>
      <c r="E1008" t="s">
        <v>325</v>
      </c>
      <c r="F1008" s="21">
        <v>37350</v>
      </c>
      <c r="G1008" s="24" t="s">
        <v>312</v>
      </c>
      <c r="H1008" t="s">
        <v>306</v>
      </c>
      <c r="I1008" t="s">
        <v>311</v>
      </c>
      <c r="J1008" t="s">
        <v>66</v>
      </c>
      <c r="K1008" t="s">
        <v>79</v>
      </c>
      <c r="L1008" t="s">
        <v>203</v>
      </c>
    </row>
    <row r="1009" spans="1:12" hidden="1" x14ac:dyDescent="0.2">
      <c r="A1009">
        <v>6</v>
      </c>
      <c r="B1009" s="21">
        <v>46026</v>
      </c>
      <c r="C1009" t="s">
        <v>325</v>
      </c>
      <c r="D1009">
        <v>15</v>
      </c>
      <c r="E1009" t="s">
        <v>325</v>
      </c>
      <c r="F1009" s="21">
        <v>37350</v>
      </c>
      <c r="G1009" s="24" t="s">
        <v>312</v>
      </c>
      <c r="H1009" t="s">
        <v>293</v>
      </c>
      <c r="I1009" t="s">
        <v>6</v>
      </c>
      <c r="J1009" t="s">
        <v>66</v>
      </c>
      <c r="K1009" t="s">
        <v>74</v>
      </c>
      <c r="L1009" t="s">
        <v>203</v>
      </c>
    </row>
    <row r="1010" spans="1:12" hidden="1" x14ac:dyDescent="0.2">
      <c r="A1010">
        <v>6</v>
      </c>
      <c r="B1010" s="21">
        <v>46026</v>
      </c>
      <c r="C1010" t="s">
        <v>325</v>
      </c>
      <c r="D1010">
        <v>15</v>
      </c>
      <c r="E1010" t="s">
        <v>325</v>
      </c>
      <c r="F1010" s="21">
        <v>37350</v>
      </c>
      <c r="G1010" s="24" t="s">
        <v>312</v>
      </c>
      <c r="H1010" t="s">
        <v>283</v>
      </c>
      <c r="I1010" t="s">
        <v>6</v>
      </c>
      <c r="J1010" t="s">
        <v>66</v>
      </c>
      <c r="K1010" t="s">
        <v>74</v>
      </c>
      <c r="L1010" t="s">
        <v>203</v>
      </c>
    </row>
    <row r="1011" spans="1:12" hidden="1" x14ac:dyDescent="0.2">
      <c r="A1011">
        <v>6</v>
      </c>
      <c r="B1011" s="21">
        <v>46026</v>
      </c>
      <c r="C1011" t="s">
        <v>325</v>
      </c>
      <c r="D1011">
        <v>15</v>
      </c>
      <c r="E1011" t="s">
        <v>325</v>
      </c>
      <c r="F1011" s="21">
        <v>37350</v>
      </c>
      <c r="G1011" s="24" t="s">
        <v>312</v>
      </c>
      <c r="H1011" t="s">
        <v>283</v>
      </c>
      <c r="I1011" t="s">
        <v>30</v>
      </c>
      <c r="J1011" t="s">
        <v>71</v>
      </c>
      <c r="K1011" t="s">
        <v>74</v>
      </c>
      <c r="L1011" t="s">
        <v>203</v>
      </c>
    </row>
    <row r="1012" spans="1:12" hidden="1" x14ac:dyDescent="0.2">
      <c r="A1012">
        <v>6</v>
      </c>
      <c r="B1012" s="21">
        <v>46026</v>
      </c>
      <c r="C1012" t="s">
        <v>325</v>
      </c>
      <c r="D1012">
        <v>15</v>
      </c>
      <c r="E1012" t="s">
        <v>325</v>
      </c>
      <c r="F1012" s="21">
        <v>37350</v>
      </c>
      <c r="G1012" s="24" t="s">
        <v>312</v>
      </c>
      <c r="H1012" t="s">
        <v>294</v>
      </c>
      <c r="I1012" t="s">
        <v>200</v>
      </c>
      <c r="J1012" t="s">
        <v>71</v>
      </c>
      <c r="K1012" t="s">
        <v>75</v>
      </c>
      <c r="L1012" t="s">
        <v>204</v>
      </c>
    </row>
    <row r="1013" spans="1:12" hidden="1" x14ac:dyDescent="0.2">
      <c r="A1013">
        <v>6</v>
      </c>
      <c r="B1013" s="21">
        <v>46026</v>
      </c>
      <c r="C1013" t="s">
        <v>325</v>
      </c>
      <c r="D1013">
        <v>15</v>
      </c>
      <c r="E1013" t="s">
        <v>325</v>
      </c>
      <c r="F1013" s="21">
        <v>37350</v>
      </c>
      <c r="G1013" s="24" t="s">
        <v>312</v>
      </c>
      <c r="H1013" t="s">
        <v>306</v>
      </c>
      <c r="I1013" t="s">
        <v>200</v>
      </c>
      <c r="J1013" t="s">
        <v>71</v>
      </c>
      <c r="K1013" t="s">
        <v>75</v>
      </c>
      <c r="L1013" t="s">
        <v>204</v>
      </c>
    </row>
    <row r="1014" spans="1:12" hidden="1" x14ac:dyDescent="0.2">
      <c r="A1014">
        <v>6</v>
      </c>
      <c r="B1014" s="21">
        <v>46026</v>
      </c>
      <c r="C1014" t="s">
        <v>325</v>
      </c>
      <c r="D1014">
        <v>15</v>
      </c>
      <c r="E1014" t="s">
        <v>325</v>
      </c>
      <c r="F1014" s="21">
        <v>37350</v>
      </c>
      <c r="G1014" s="24" t="s">
        <v>312</v>
      </c>
      <c r="H1014" t="s">
        <v>294</v>
      </c>
      <c r="I1014" t="s">
        <v>6</v>
      </c>
      <c r="J1014" t="s">
        <v>71</v>
      </c>
      <c r="K1014" t="s">
        <v>75</v>
      </c>
      <c r="L1014" t="s">
        <v>204</v>
      </c>
    </row>
    <row r="1015" spans="1:12" hidden="1" x14ac:dyDescent="0.2">
      <c r="A1015">
        <v>6</v>
      </c>
      <c r="B1015" s="21">
        <v>46026</v>
      </c>
      <c r="C1015" t="s">
        <v>325</v>
      </c>
      <c r="D1015">
        <v>15</v>
      </c>
      <c r="E1015" t="s">
        <v>325</v>
      </c>
      <c r="F1015" s="21">
        <v>37350</v>
      </c>
      <c r="G1015" s="24" t="s">
        <v>312</v>
      </c>
      <c r="H1015" t="s">
        <v>292</v>
      </c>
      <c r="I1015" t="s">
        <v>311</v>
      </c>
      <c r="J1015" t="s">
        <v>71</v>
      </c>
      <c r="K1015" t="s">
        <v>75</v>
      </c>
      <c r="L1015" t="s">
        <v>204</v>
      </c>
    </row>
    <row r="1016" spans="1:12" hidden="1" x14ac:dyDescent="0.2">
      <c r="A1016">
        <v>6</v>
      </c>
      <c r="B1016" s="21">
        <v>46026</v>
      </c>
      <c r="C1016" t="s">
        <v>325</v>
      </c>
      <c r="D1016">
        <v>15</v>
      </c>
      <c r="E1016" t="s">
        <v>325</v>
      </c>
      <c r="F1016" s="21">
        <v>37350</v>
      </c>
      <c r="G1016" s="24" t="s">
        <v>312</v>
      </c>
      <c r="H1016" t="s">
        <v>282</v>
      </c>
      <c r="I1016" t="s">
        <v>38</v>
      </c>
      <c r="J1016" t="s">
        <v>66</v>
      </c>
      <c r="K1016" t="s">
        <v>72</v>
      </c>
      <c r="L1016" t="s">
        <v>202</v>
      </c>
    </row>
    <row r="1017" spans="1:12" hidden="1" x14ac:dyDescent="0.2">
      <c r="A1017">
        <v>6</v>
      </c>
      <c r="B1017" s="21">
        <v>46026</v>
      </c>
      <c r="C1017" t="s">
        <v>325</v>
      </c>
      <c r="D1017">
        <v>15</v>
      </c>
      <c r="E1017" t="s">
        <v>325</v>
      </c>
      <c r="F1017" s="21">
        <v>37350</v>
      </c>
      <c r="G1017" s="24" t="s">
        <v>312</v>
      </c>
      <c r="H1017" t="s">
        <v>305</v>
      </c>
      <c r="I1017" t="s">
        <v>200</v>
      </c>
      <c r="J1017" t="s">
        <v>71</v>
      </c>
      <c r="K1017" t="s">
        <v>72</v>
      </c>
      <c r="L1017" t="s">
        <v>202</v>
      </c>
    </row>
    <row r="1018" spans="1:12" hidden="1" x14ac:dyDescent="0.2">
      <c r="A1018">
        <v>6</v>
      </c>
      <c r="B1018" s="21">
        <v>46026</v>
      </c>
      <c r="C1018" t="s">
        <v>325</v>
      </c>
      <c r="D1018">
        <v>15</v>
      </c>
      <c r="E1018" t="s">
        <v>325</v>
      </c>
      <c r="F1018" s="21">
        <v>37350</v>
      </c>
      <c r="G1018" s="24" t="s">
        <v>312</v>
      </c>
      <c r="H1018" t="s">
        <v>292</v>
      </c>
      <c r="I1018" t="s">
        <v>200</v>
      </c>
      <c r="J1018" t="s">
        <v>71</v>
      </c>
      <c r="K1018" t="s">
        <v>65</v>
      </c>
      <c r="L1018" t="s">
        <v>202</v>
      </c>
    </row>
    <row r="1019" spans="1:12" hidden="1" x14ac:dyDescent="0.2">
      <c r="A1019">
        <v>6</v>
      </c>
      <c r="B1019" s="21">
        <v>46026</v>
      </c>
      <c r="C1019" t="s">
        <v>325</v>
      </c>
      <c r="D1019">
        <v>15</v>
      </c>
      <c r="E1019" t="s">
        <v>325</v>
      </c>
      <c r="F1019" s="21">
        <v>37350</v>
      </c>
      <c r="G1019" s="24" t="s">
        <v>312</v>
      </c>
      <c r="H1019" t="s">
        <v>283</v>
      </c>
      <c r="I1019" t="s">
        <v>36</v>
      </c>
      <c r="J1019" t="s">
        <v>66</v>
      </c>
      <c r="K1019" t="s">
        <v>67</v>
      </c>
      <c r="L1019" t="s">
        <v>202</v>
      </c>
    </row>
    <row r="1020" spans="1:12" hidden="1" x14ac:dyDescent="0.2">
      <c r="A1020">
        <v>6</v>
      </c>
      <c r="B1020" s="21">
        <v>46026</v>
      </c>
      <c r="C1020" t="s">
        <v>325</v>
      </c>
      <c r="D1020">
        <v>15</v>
      </c>
      <c r="E1020" t="s">
        <v>325</v>
      </c>
      <c r="F1020" s="21">
        <v>37350</v>
      </c>
      <c r="G1020" s="24" t="s">
        <v>312</v>
      </c>
      <c r="H1020" t="s">
        <v>305</v>
      </c>
      <c r="I1020" t="s">
        <v>261</v>
      </c>
      <c r="J1020" t="s">
        <v>66</v>
      </c>
      <c r="K1020" t="s">
        <v>79</v>
      </c>
      <c r="L1020" t="s">
        <v>203</v>
      </c>
    </row>
    <row r="1021" spans="1:12" hidden="1" x14ac:dyDescent="0.2">
      <c r="A1021">
        <v>6</v>
      </c>
      <c r="B1021" s="21">
        <v>46026</v>
      </c>
      <c r="C1021" t="s">
        <v>325</v>
      </c>
      <c r="D1021">
        <v>15</v>
      </c>
      <c r="E1021" t="s">
        <v>325</v>
      </c>
      <c r="F1021" s="21">
        <v>37350</v>
      </c>
      <c r="G1021" s="24" t="s">
        <v>312</v>
      </c>
      <c r="H1021" t="s">
        <v>287</v>
      </c>
      <c r="I1021" t="s">
        <v>14</v>
      </c>
      <c r="J1021" t="s">
        <v>80</v>
      </c>
      <c r="K1021" t="s">
        <v>69</v>
      </c>
      <c r="L1021" t="s">
        <v>204</v>
      </c>
    </row>
    <row r="1022" spans="1:12" hidden="1" x14ac:dyDescent="0.2">
      <c r="A1022">
        <v>6</v>
      </c>
      <c r="B1022" s="21">
        <v>46026</v>
      </c>
      <c r="C1022" t="s">
        <v>325</v>
      </c>
      <c r="D1022">
        <v>15</v>
      </c>
      <c r="E1022" t="s">
        <v>325</v>
      </c>
      <c r="F1022" s="21">
        <v>37350</v>
      </c>
      <c r="G1022" s="24" t="s">
        <v>312</v>
      </c>
      <c r="H1022" t="s">
        <v>306</v>
      </c>
      <c r="I1022" t="s">
        <v>14</v>
      </c>
      <c r="J1022" t="s">
        <v>80</v>
      </c>
      <c r="K1022" t="s">
        <v>69</v>
      </c>
      <c r="L1022" t="s">
        <v>204</v>
      </c>
    </row>
    <row r="1023" spans="1:12" hidden="1" x14ac:dyDescent="0.2">
      <c r="A1023">
        <v>6</v>
      </c>
      <c r="B1023" s="21">
        <v>46026</v>
      </c>
      <c r="C1023" t="s">
        <v>325</v>
      </c>
      <c r="D1023">
        <v>15</v>
      </c>
      <c r="E1023" t="s">
        <v>325</v>
      </c>
      <c r="F1023" s="21">
        <v>37350</v>
      </c>
      <c r="G1023" s="24" t="s">
        <v>312</v>
      </c>
      <c r="H1023" t="s">
        <v>282</v>
      </c>
      <c r="I1023" t="s">
        <v>30</v>
      </c>
      <c r="J1023" t="s">
        <v>66</v>
      </c>
      <c r="K1023" t="s">
        <v>72</v>
      </c>
      <c r="L1023" t="s">
        <v>202</v>
      </c>
    </row>
    <row r="1024" spans="1:12" hidden="1" x14ac:dyDescent="0.2">
      <c r="A1024">
        <v>6</v>
      </c>
      <c r="B1024" s="21">
        <v>46026</v>
      </c>
      <c r="C1024" t="s">
        <v>325</v>
      </c>
      <c r="D1024">
        <v>15</v>
      </c>
      <c r="E1024" t="s">
        <v>325</v>
      </c>
      <c r="F1024" s="21">
        <v>37350</v>
      </c>
      <c r="G1024" s="24" t="s">
        <v>312</v>
      </c>
      <c r="H1024" t="s">
        <v>292</v>
      </c>
      <c r="I1024" t="s">
        <v>205</v>
      </c>
      <c r="J1024" t="s">
        <v>66</v>
      </c>
      <c r="K1024" t="s">
        <v>74</v>
      </c>
      <c r="L1024" t="s">
        <v>203</v>
      </c>
    </row>
    <row r="1025" spans="1:12" hidden="1" x14ac:dyDescent="0.2">
      <c r="A1025">
        <v>6</v>
      </c>
      <c r="B1025" s="21">
        <v>46026</v>
      </c>
      <c r="C1025" t="s">
        <v>325</v>
      </c>
      <c r="D1025">
        <v>15</v>
      </c>
      <c r="E1025" t="s">
        <v>325</v>
      </c>
      <c r="F1025" s="21">
        <v>37350</v>
      </c>
      <c r="G1025" s="24" t="s">
        <v>312</v>
      </c>
      <c r="H1025" t="s">
        <v>292</v>
      </c>
      <c r="I1025" t="s">
        <v>6</v>
      </c>
      <c r="J1025" t="s">
        <v>64</v>
      </c>
      <c r="K1025" t="s">
        <v>75</v>
      </c>
      <c r="L1025" t="s">
        <v>204</v>
      </c>
    </row>
    <row r="1026" spans="1:12" hidden="1" x14ac:dyDescent="0.2">
      <c r="A1026">
        <v>6</v>
      </c>
      <c r="B1026" s="21">
        <v>46026</v>
      </c>
      <c r="C1026" t="s">
        <v>325</v>
      </c>
      <c r="D1026">
        <v>15</v>
      </c>
      <c r="E1026" t="s">
        <v>325</v>
      </c>
      <c r="F1026" s="21">
        <v>37350</v>
      </c>
      <c r="G1026" s="24" t="s">
        <v>312</v>
      </c>
      <c r="H1026" t="s">
        <v>293</v>
      </c>
      <c r="I1026" t="s">
        <v>36</v>
      </c>
      <c r="J1026" t="s">
        <v>64</v>
      </c>
      <c r="K1026" t="s">
        <v>75</v>
      </c>
      <c r="L1026" t="s">
        <v>204</v>
      </c>
    </row>
    <row r="1027" spans="1:12" hidden="1" x14ac:dyDescent="0.2">
      <c r="A1027">
        <v>6</v>
      </c>
      <c r="B1027" s="21">
        <v>46026</v>
      </c>
      <c r="C1027" t="s">
        <v>325</v>
      </c>
      <c r="D1027">
        <v>15</v>
      </c>
      <c r="E1027" t="s">
        <v>325</v>
      </c>
      <c r="F1027" s="21">
        <v>37350</v>
      </c>
      <c r="G1027" s="24" t="s">
        <v>312</v>
      </c>
      <c r="H1027" t="s">
        <v>290</v>
      </c>
      <c r="I1027" t="s">
        <v>6</v>
      </c>
      <c r="J1027" t="s">
        <v>66</v>
      </c>
      <c r="K1027" t="s">
        <v>74</v>
      </c>
      <c r="L1027" t="s">
        <v>203</v>
      </c>
    </row>
    <row r="1028" spans="1:12" hidden="1" x14ac:dyDescent="0.2">
      <c r="A1028">
        <v>6</v>
      </c>
      <c r="B1028" s="21">
        <v>46026</v>
      </c>
      <c r="C1028" t="s">
        <v>325</v>
      </c>
      <c r="D1028">
        <v>15</v>
      </c>
      <c r="E1028" t="s">
        <v>325</v>
      </c>
      <c r="F1028" s="21">
        <v>37350</v>
      </c>
      <c r="G1028" s="24" t="s">
        <v>312</v>
      </c>
      <c r="H1028" t="s">
        <v>290</v>
      </c>
      <c r="I1028" t="s">
        <v>30</v>
      </c>
      <c r="J1028" t="s">
        <v>71</v>
      </c>
      <c r="K1028" t="s">
        <v>74</v>
      </c>
      <c r="L1028" t="s">
        <v>203</v>
      </c>
    </row>
    <row r="1029" spans="1:12" hidden="1" x14ac:dyDescent="0.2">
      <c r="A1029">
        <v>6</v>
      </c>
      <c r="B1029" s="21">
        <v>46026</v>
      </c>
      <c r="C1029" t="s">
        <v>325</v>
      </c>
      <c r="D1029">
        <v>15</v>
      </c>
      <c r="E1029" t="s">
        <v>325</v>
      </c>
      <c r="F1029" s="21">
        <v>37350</v>
      </c>
      <c r="G1029" s="24" t="s">
        <v>312</v>
      </c>
      <c r="H1029" t="s">
        <v>293</v>
      </c>
      <c r="I1029" t="s">
        <v>6</v>
      </c>
      <c r="J1029" t="s">
        <v>66</v>
      </c>
      <c r="K1029" t="s">
        <v>74</v>
      </c>
      <c r="L1029" t="s">
        <v>203</v>
      </c>
    </row>
    <row r="1030" spans="1:12" hidden="1" x14ac:dyDescent="0.2">
      <c r="A1030">
        <v>6</v>
      </c>
      <c r="B1030" s="21">
        <v>46026</v>
      </c>
      <c r="C1030" t="s">
        <v>325</v>
      </c>
      <c r="D1030">
        <v>15</v>
      </c>
      <c r="E1030" t="s">
        <v>325</v>
      </c>
      <c r="F1030" s="21">
        <v>37350</v>
      </c>
      <c r="G1030" s="24" t="s">
        <v>312</v>
      </c>
      <c r="H1030" t="s">
        <v>283</v>
      </c>
      <c r="I1030" t="s">
        <v>6</v>
      </c>
      <c r="J1030" t="s">
        <v>66</v>
      </c>
      <c r="K1030" t="s">
        <v>74</v>
      </c>
      <c r="L1030" t="s">
        <v>203</v>
      </c>
    </row>
    <row r="1031" spans="1:12" hidden="1" x14ac:dyDescent="0.2">
      <c r="A1031">
        <v>6</v>
      </c>
      <c r="B1031" s="21">
        <v>46026</v>
      </c>
      <c r="C1031" t="s">
        <v>325</v>
      </c>
      <c r="D1031">
        <v>15</v>
      </c>
      <c r="E1031" t="s">
        <v>325</v>
      </c>
      <c r="F1031" s="21">
        <v>37350</v>
      </c>
      <c r="G1031" s="24" t="s">
        <v>312</v>
      </c>
      <c r="H1031" t="s">
        <v>290</v>
      </c>
      <c r="I1031" t="s">
        <v>6</v>
      </c>
      <c r="J1031" t="s">
        <v>66</v>
      </c>
      <c r="K1031" t="s">
        <v>74</v>
      </c>
      <c r="L1031" t="s">
        <v>203</v>
      </c>
    </row>
    <row r="1032" spans="1:12" hidden="1" x14ac:dyDescent="0.2">
      <c r="A1032">
        <v>6</v>
      </c>
      <c r="B1032" s="21">
        <v>46026</v>
      </c>
      <c r="C1032" t="s">
        <v>325</v>
      </c>
      <c r="D1032">
        <v>15</v>
      </c>
      <c r="E1032" t="s">
        <v>325</v>
      </c>
      <c r="F1032" s="21">
        <v>37350</v>
      </c>
      <c r="G1032" s="24" t="s">
        <v>312</v>
      </c>
      <c r="H1032" t="s">
        <v>295</v>
      </c>
      <c r="I1032" t="s">
        <v>6</v>
      </c>
      <c r="J1032" t="s">
        <v>66</v>
      </c>
      <c r="K1032" t="s">
        <v>74</v>
      </c>
      <c r="L1032" t="s">
        <v>203</v>
      </c>
    </row>
    <row r="1033" spans="1:12" hidden="1" x14ac:dyDescent="0.2">
      <c r="A1033">
        <v>6</v>
      </c>
      <c r="B1033" s="21">
        <v>46026</v>
      </c>
      <c r="C1033" t="s">
        <v>325</v>
      </c>
      <c r="D1033">
        <v>15</v>
      </c>
      <c r="E1033" t="s">
        <v>325</v>
      </c>
      <c r="F1033" s="21">
        <v>37350</v>
      </c>
      <c r="G1033" s="24" t="s">
        <v>312</v>
      </c>
      <c r="H1033" t="s">
        <v>305</v>
      </c>
      <c r="I1033" t="s">
        <v>14</v>
      </c>
      <c r="J1033" t="s">
        <v>80</v>
      </c>
      <c r="K1033" t="s">
        <v>69</v>
      </c>
      <c r="L1033" t="s">
        <v>204</v>
      </c>
    </row>
    <row r="1034" spans="1:12" hidden="1" x14ac:dyDescent="0.2">
      <c r="A1034">
        <v>6</v>
      </c>
      <c r="B1034" s="21">
        <v>46026</v>
      </c>
      <c r="C1034" t="s">
        <v>325</v>
      </c>
      <c r="D1034">
        <v>15</v>
      </c>
      <c r="E1034" t="s">
        <v>325</v>
      </c>
      <c r="F1034" s="21">
        <v>37350</v>
      </c>
      <c r="G1034" s="24" t="s">
        <v>312</v>
      </c>
      <c r="H1034" t="s">
        <v>305</v>
      </c>
      <c r="I1034" t="s">
        <v>311</v>
      </c>
      <c r="J1034" t="s">
        <v>71</v>
      </c>
      <c r="K1034" t="s">
        <v>69</v>
      </c>
      <c r="L1034" t="s">
        <v>204</v>
      </c>
    </row>
    <row r="1035" spans="1:12" hidden="1" x14ac:dyDescent="0.2">
      <c r="A1035">
        <v>6</v>
      </c>
      <c r="B1035" s="21">
        <v>46026</v>
      </c>
      <c r="C1035" t="s">
        <v>325</v>
      </c>
      <c r="D1035">
        <v>15</v>
      </c>
      <c r="E1035" t="s">
        <v>325</v>
      </c>
      <c r="F1035" s="21">
        <v>37350</v>
      </c>
      <c r="G1035" s="24" t="s">
        <v>312</v>
      </c>
      <c r="H1035" t="s">
        <v>293</v>
      </c>
      <c r="I1035" t="s">
        <v>261</v>
      </c>
      <c r="J1035" t="s">
        <v>66</v>
      </c>
      <c r="K1035" t="s">
        <v>79</v>
      </c>
      <c r="L1035" t="s">
        <v>203</v>
      </c>
    </row>
    <row r="1036" spans="1:12" hidden="1" x14ac:dyDescent="0.2">
      <c r="A1036">
        <v>6</v>
      </c>
      <c r="B1036" s="21">
        <v>46026</v>
      </c>
      <c r="C1036" t="s">
        <v>325</v>
      </c>
      <c r="D1036">
        <v>15</v>
      </c>
      <c r="E1036" t="s">
        <v>325</v>
      </c>
      <c r="F1036" s="21">
        <v>37350</v>
      </c>
      <c r="G1036" s="24" t="s">
        <v>312</v>
      </c>
      <c r="H1036" t="s">
        <v>293</v>
      </c>
      <c r="I1036" t="s">
        <v>23</v>
      </c>
      <c r="J1036" t="s">
        <v>66</v>
      </c>
      <c r="K1036" t="s">
        <v>79</v>
      </c>
      <c r="L1036" t="s">
        <v>203</v>
      </c>
    </row>
    <row r="1037" spans="1:12" hidden="1" x14ac:dyDescent="0.2">
      <c r="A1037">
        <v>6</v>
      </c>
      <c r="B1037" s="21">
        <v>46026</v>
      </c>
      <c r="C1037" t="s">
        <v>325</v>
      </c>
      <c r="D1037">
        <v>15</v>
      </c>
      <c r="E1037" t="s">
        <v>325</v>
      </c>
      <c r="F1037" s="21">
        <v>37350</v>
      </c>
      <c r="G1037" s="24" t="s">
        <v>312</v>
      </c>
      <c r="H1037" t="s">
        <v>293</v>
      </c>
      <c r="I1037" t="s">
        <v>12</v>
      </c>
      <c r="J1037" t="s">
        <v>71</v>
      </c>
      <c r="K1037" t="s">
        <v>75</v>
      </c>
      <c r="L1037" t="s">
        <v>204</v>
      </c>
    </row>
    <row r="1038" spans="1:12" x14ac:dyDescent="0.2">
      <c r="A1038">
        <v>6</v>
      </c>
      <c r="B1038" s="21">
        <v>46026</v>
      </c>
      <c r="C1038" t="s">
        <v>325</v>
      </c>
      <c r="D1038">
        <v>15</v>
      </c>
      <c r="E1038" t="s">
        <v>325</v>
      </c>
      <c r="F1038" s="21">
        <v>37350</v>
      </c>
      <c r="G1038" s="24" t="s">
        <v>312</v>
      </c>
      <c r="H1038" t="s">
        <v>293</v>
      </c>
      <c r="I1038" t="s">
        <v>14</v>
      </c>
      <c r="J1038" t="s">
        <v>66</v>
      </c>
      <c r="K1038" t="s">
        <v>78</v>
      </c>
      <c r="L1038" t="s">
        <v>204</v>
      </c>
    </row>
    <row r="1039" spans="1:12" hidden="1" x14ac:dyDescent="0.2">
      <c r="A1039">
        <v>6</v>
      </c>
      <c r="B1039" s="21">
        <v>46026</v>
      </c>
      <c r="C1039" t="s">
        <v>325</v>
      </c>
      <c r="D1039">
        <v>15</v>
      </c>
      <c r="E1039" t="s">
        <v>325</v>
      </c>
      <c r="F1039" s="21">
        <v>37350</v>
      </c>
      <c r="G1039" s="24" t="s">
        <v>313</v>
      </c>
      <c r="H1039" t="s">
        <v>292</v>
      </c>
      <c r="I1039" t="s">
        <v>32</v>
      </c>
      <c r="J1039" t="s">
        <v>64</v>
      </c>
      <c r="K1039" t="s">
        <v>73</v>
      </c>
      <c r="L1039" t="s">
        <v>203</v>
      </c>
    </row>
    <row r="1040" spans="1:12" hidden="1" x14ac:dyDescent="0.2">
      <c r="A1040">
        <v>6</v>
      </c>
      <c r="B1040" s="21">
        <v>46026</v>
      </c>
      <c r="C1040" t="s">
        <v>325</v>
      </c>
      <c r="D1040">
        <v>15</v>
      </c>
      <c r="E1040" t="s">
        <v>325</v>
      </c>
      <c r="F1040" s="21">
        <v>37350</v>
      </c>
      <c r="G1040" s="24" t="s">
        <v>313</v>
      </c>
      <c r="H1040" t="s">
        <v>294</v>
      </c>
      <c r="I1040" t="s">
        <v>30</v>
      </c>
      <c r="J1040" t="s">
        <v>71</v>
      </c>
      <c r="K1040" t="s">
        <v>74</v>
      </c>
      <c r="L1040" t="s">
        <v>203</v>
      </c>
    </row>
    <row r="1041" spans="1:12" hidden="1" x14ac:dyDescent="0.2">
      <c r="A1041">
        <v>6</v>
      </c>
      <c r="B1041" s="21">
        <v>46026</v>
      </c>
      <c r="C1041" t="s">
        <v>325</v>
      </c>
      <c r="D1041">
        <v>15</v>
      </c>
      <c r="E1041" t="s">
        <v>325</v>
      </c>
      <c r="F1041" s="21">
        <v>37350</v>
      </c>
      <c r="G1041" s="24" t="s">
        <v>313</v>
      </c>
      <c r="H1041" t="s">
        <v>294</v>
      </c>
      <c r="I1041" t="s">
        <v>205</v>
      </c>
      <c r="J1041" t="s">
        <v>66</v>
      </c>
      <c r="K1041" t="s">
        <v>74</v>
      </c>
      <c r="L1041" t="s">
        <v>203</v>
      </c>
    </row>
    <row r="1042" spans="1:12" hidden="1" x14ac:dyDescent="0.2">
      <c r="A1042">
        <v>6</v>
      </c>
      <c r="B1042" s="21">
        <v>46026</v>
      </c>
      <c r="C1042" t="s">
        <v>325</v>
      </c>
      <c r="D1042">
        <v>15</v>
      </c>
      <c r="E1042" t="s">
        <v>325</v>
      </c>
      <c r="F1042" s="21">
        <v>37350</v>
      </c>
      <c r="G1042" s="24" t="s">
        <v>313</v>
      </c>
      <c r="H1042" t="s">
        <v>293</v>
      </c>
      <c r="I1042" t="s">
        <v>200</v>
      </c>
      <c r="J1042" t="s">
        <v>71</v>
      </c>
      <c r="K1042" t="s">
        <v>74</v>
      </c>
      <c r="L1042" t="s">
        <v>203</v>
      </c>
    </row>
    <row r="1043" spans="1:12" hidden="1" x14ac:dyDescent="0.2">
      <c r="A1043">
        <v>6</v>
      </c>
      <c r="B1043" s="21">
        <v>46026</v>
      </c>
      <c r="C1043" t="s">
        <v>325</v>
      </c>
      <c r="D1043">
        <v>15</v>
      </c>
      <c r="E1043" t="s">
        <v>325</v>
      </c>
      <c r="F1043" s="21">
        <v>37350</v>
      </c>
      <c r="G1043" s="24" t="s">
        <v>313</v>
      </c>
      <c r="H1043" t="s">
        <v>290</v>
      </c>
      <c r="I1043" t="s">
        <v>30</v>
      </c>
      <c r="J1043" t="s">
        <v>71</v>
      </c>
      <c r="K1043" t="s">
        <v>74</v>
      </c>
      <c r="L1043" t="s">
        <v>203</v>
      </c>
    </row>
    <row r="1044" spans="1:12" hidden="1" x14ac:dyDescent="0.2">
      <c r="A1044">
        <v>6</v>
      </c>
      <c r="B1044" s="21">
        <v>46026</v>
      </c>
      <c r="C1044" t="s">
        <v>325</v>
      </c>
      <c r="D1044">
        <v>15</v>
      </c>
      <c r="E1044" t="s">
        <v>325</v>
      </c>
      <c r="F1044" s="21">
        <v>37350</v>
      </c>
      <c r="G1044" s="24" t="s">
        <v>313</v>
      </c>
      <c r="H1044" t="s">
        <v>292</v>
      </c>
      <c r="I1044" t="s">
        <v>311</v>
      </c>
      <c r="J1044" t="s">
        <v>64</v>
      </c>
      <c r="K1044" t="s">
        <v>74</v>
      </c>
      <c r="L1044" t="s">
        <v>203</v>
      </c>
    </row>
    <row r="1045" spans="1:12" hidden="1" x14ac:dyDescent="0.2">
      <c r="A1045">
        <v>6</v>
      </c>
      <c r="B1045" s="21">
        <v>46026</v>
      </c>
      <c r="C1045" t="s">
        <v>325</v>
      </c>
      <c r="D1045">
        <v>15</v>
      </c>
      <c r="E1045" t="s">
        <v>325</v>
      </c>
      <c r="F1045" s="21">
        <v>37350</v>
      </c>
      <c r="G1045" s="24" t="s">
        <v>313</v>
      </c>
      <c r="H1045" t="s">
        <v>282</v>
      </c>
      <c r="I1045" t="s">
        <v>30</v>
      </c>
      <c r="J1045" t="s">
        <v>71</v>
      </c>
      <c r="K1045" t="s">
        <v>74</v>
      </c>
      <c r="L1045" t="s">
        <v>203</v>
      </c>
    </row>
    <row r="1046" spans="1:12" hidden="1" x14ac:dyDescent="0.2">
      <c r="A1046">
        <v>6</v>
      </c>
      <c r="B1046" s="21">
        <v>46026</v>
      </c>
      <c r="C1046" t="s">
        <v>325</v>
      </c>
      <c r="D1046">
        <v>15</v>
      </c>
      <c r="E1046" t="s">
        <v>325</v>
      </c>
      <c r="F1046" s="21">
        <v>37350</v>
      </c>
      <c r="G1046" s="24" t="s">
        <v>313</v>
      </c>
      <c r="H1046" t="s">
        <v>295</v>
      </c>
      <c r="I1046" t="s">
        <v>200</v>
      </c>
      <c r="J1046" t="s">
        <v>71</v>
      </c>
      <c r="K1046" t="s">
        <v>74</v>
      </c>
      <c r="L1046" t="s">
        <v>203</v>
      </c>
    </row>
    <row r="1047" spans="1:12" hidden="1" x14ac:dyDescent="0.2">
      <c r="A1047">
        <v>6</v>
      </c>
      <c r="B1047" s="21">
        <v>46026</v>
      </c>
      <c r="C1047" t="s">
        <v>325</v>
      </c>
      <c r="D1047">
        <v>15</v>
      </c>
      <c r="E1047" t="s">
        <v>325</v>
      </c>
      <c r="F1047" s="21">
        <v>37350</v>
      </c>
      <c r="G1047" s="24" t="s">
        <v>313</v>
      </c>
      <c r="H1047" t="s">
        <v>305</v>
      </c>
      <c r="I1047" t="s">
        <v>205</v>
      </c>
      <c r="J1047" t="s">
        <v>66</v>
      </c>
      <c r="K1047" t="s">
        <v>72</v>
      </c>
      <c r="L1047" t="s">
        <v>202</v>
      </c>
    </row>
    <row r="1048" spans="1:12" hidden="1" x14ac:dyDescent="0.2">
      <c r="A1048">
        <v>6</v>
      </c>
      <c r="B1048" s="21">
        <v>46026</v>
      </c>
      <c r="C1048" t="s">
        <v>325</v>
      </c>
      <c r="D1048">
        <v>15</v>
      </c>
      <c r="E1048" t="s">
        <v>325</v>
      </c>
      <c r="F1048" s="21">
        <v>37350</v>
      </c>
      <c r="G1048" s="24" t="s">
        <v>313</v>
      </c>
      <c r="H1048" t="s">
        <v>306</v>
      </c>
      <c r="I1048" t="s">
        <v>38</v>
      </c>
      <c r="J1048" t="s">
        <v>66</v>
      </c>
      <c r="K1048" t="s">
        <v>73</v>
      </c>
      <c r="L1048" t="s">
        <v>203</v>
      </c>
    </row>
    <row r="1049" spans="1:12" hidden="1" x14ac:dyDescent="0.2">
      <c r="A1049">
        <v>6</v>
      </c>
      <c r="B1049" s="21">
        <v>46026</v>
      </c>
      <c r="C1049" t="s">
        <v>325</v>
      </c>
      <c r="D1049">
        <v>15</v>
      </c>
      <c r="E1049" t="s">
        <v>325</v>
      </c>
      <c r="F1049" s="21">
        <v>37350</v>
      </c>
      <c r="G1049" s="24" t="s">
        <v>313</v>
      </c>
      <c r="H1049" t="s">
        <v>305</v>
      </c>
      <c r="I1049" t="s">
        <v>200</v>
      </c>
      <c r="J1049" t="s">
        <v>71</v>
      </c>
      <c r="K1049" t="s">
        <v>72</v>
      </c>
      <c r="L1049" t="s">
        <v>202</v>
      </c>
    </row>
    <row r="1050" spans="1:12" hidden="1" x14ac:dyDescent="0.2">
      <c r="A1050">
        <v>6</v>
      </c>
      <c r="B1050" s="21">
        <v>46026</v>
      </c>
      <c r="C1050" t="s">
        <v>325</v>
      </c>
      <c r="D1050">
        <v>15</v>
      </c>
      <c r="E1050" t="s">
        <v>325</v>
      </c>
      <c r="F1050" s="21">
        <v>37350</v>
      </c>
      <c r="G1050" s="24" t="s">
        <v>313</v>
      </c>
      <c r="H1050" t="s">
        <v>290</v>
      </c>
      <c r="I1050" t="s">
        <v>30</v>
      </c>
      <c r="J1050" t="s">
        <v>71</v>
      </c>
      <c r="K1050" t="s">
        <v>65</v>
      </c>
      <c r="L1050" t="s">
        <v>202</v>
      </c>
    </row>
    <row r="1051" spans="1:12" x14ac:dyDescent="0.2">
      <c r="A1051">
        <v>6</v>
      </c>
      <c r="B1051" s="21">
        <v>46026</v>
      </c>
      <c r="C1051" t="s">
        <v>325</v>
      </c>
      <c r="D1051">
        <v>15</v>
      </c>
      <c r="E1051" t="s">
        <v>325</v>
      </c>
      <c r="F1051" s="21">
        <v>37350</v>
      </c>
      <c r="G1051" s="24" t="s">
        <v>313</v>
      </c>
      <c r="H1051" t="s">
        <v>283</v>
      </c>
      <c r="I1051" t="s">
        <v>200</v>
      </c>
      <c r="J1051" t="s">
        <v>68</v>
      </c>
      <c r="K1051" t="s">
        <v>78</v>
      </c>
      <c r="L1051" t="s">
        <v>202</v>
      </c>
    </row>
    <row r="1052" spans="1:12" hidden="1" x14ac:dyDescent="0.2">
      <c r="A1052">
        <v>6</v>
      </c>
      <c r="B1052" s="21">
        <v>46026</v>
      </c>
      <c r="C1052" t="s">
        <v>325</v>
      </c>
      <c r="D1052">
        <v>15</v>
      </c>
      <c r="E1052" t="s">
        <v>325</v>
      </c>
      <c r="F1052" s="21">
        <v>37350</v>
      </c>
      <c r="G1052" s="24" t="s">
        <v>313</v>
      </c>
      <c r="H1052" t="s">
        <v>293</v>
      </c>
      <c r="I1052" t="s">
        <v>311</v>
      </c>
      <c r="J1052" t="s">
        <v>68</v>
      </c>
      <c r="K1052" t="s">
        <v>74</v>
      </c>
      <c r="L1052" t="s">
        <v>203</v>
      </c>
    </row>
    <row r="1053" spans="1:12" hidden="1" x14ac:dyDescent="0.2">
      <c r="A1053">
        <v>6</v>
      </c>
      <c r="B1053" s="21">
        <v>46026</v>
      </c>
      <c r="C1053" t="s">
        <v>325</v>
      </c>
      <c r="D1053">
        <v>15</v>
      </c>
      <c r="E1053" t="s">
        <v>325</v>
      </c>
      <c r="F1053" s="21">
        <v>37350</v>
      </c>
      <c r="G1053" s="24" t="s">
        <v>313</v>
      </c>
      <c r="H1053" t="s">
        <v>294</v>
      </c>
      <c r="I1053" t="s">
        <v>82</v>
      </c>
      <c r="J1053" t="s">
        <v>66</v>
      </c>
      <c r="K1053" t="s">
        <v>75</v>
      </c>
      <c r="L1053" t="s">
        <v>204</v>
      </c>
    </row>
    <row r="1054" spans="1:12" hidden="1" x14ac:dyDescent="0.2">
      <c r="A1054">
        <v>6</v>
      </c>
      <c r="B1054" s="21">
        <v>46026</v>
      </c>
      <c r="C1054" t="s">
        <v>325</v>
      </c>
      <c r="D1054">
        <v>15</v>
      </c>
      <c r="E1054" t="s">
        <v>325</v>
      </c>
      <c r="F1054" s="21">
        <v>37350</v>
      </c>
      <c r="G1054" s="24" t="s">
        <v>313</v>
      </c>
      <c r="H1054" t="s">
        <v>293</v>
      </c>
      <c r="I1054" t="s">
        <v>261</v>
      </c>
      <c r="J1054" t="s">
        <v>66</v>
      </c>
      <c r="K1054" t="s">
        <v>79</v>
      </c>
      <c r="L1054" t="s">
        <v>203</v>
      </c>
    </row>
    <row r="1055" spans="1:12" hidden="1" x14ac:dyDescent="0.2">
      <c r="A1055">
        <v>6</v>
      </c>
      <c r="B1055" s="21">
        <v>46026</v>
      </c>
      <c r="C1055" t="s">
        <v>325</v>
      </c>
      <c r="D1055">
        <v>15</v>
      </c>
      <c r="E1055" t="s">
        <v>325</v>
      </c>
      <c r="F1055" s="21">
        <v>37350</v>
      </c>
      <c r="G1055" s="24" t="s">
        <v>313</v>
      </c>
      <c r="H1055" t="s">
        <v>294</v>
      </c>
      <c r="I1055" t="s">
        <v>205</v>
      </c>
      <c r="K1055" t="s">
        <v>73</v>
      </c>
      <c r="L1055" t="s">
        <v>203</v>
      </c>
    </row>
    <row r="1056" spans="1:12" hidden="1" x14ac:dyDescent="0.2">
      <c r="A1056">
        <v>6</v>
      </c>
      <c r="B1056" s="21">
        <v>46026</v>
      </c>
      <c r="C1056" t="s">
        <v>325</v>
      </c>
      <c r="D1056">
        <v>15</v>
      </c>
      <c r="E1056" t="s">
        <v>325</v>
      </c>
      <c r="F1056" s="21">
        <v>37350</v>
      </c>
      <c r="G1056" s="24" t="s">
        <v>313</v>
      </c>
      <c r="H1056" t="s">
        <v>306</v>
      </c>
      <c r="I1056" t="s">
        <v>200</v>
      </c>
      <c r="J1056" t="s">
        <v>68</v>
      </c>
      <c r="K1056" t="s">
        <v>69</v>
      </c>
      <c r="L1056" t="s">
        <v>204</v>
      </c>
    </row>
    <row r="1057" spans="1:12" x14ac:dyDescent="0.2">
      <c r="A1057">
        <v>6</v>
      </c>
      <c r="B1057" s="21">
        <v>46026</v>
      </c>
      <c r="C1057" t="s">
        <v>325</v>
      </c>
      <c r="D1057">
        <v>15</v>
      </c>
      <c r="E1057" t="s">
        <v>325</v>
      </c>
      <c r="F1057" s="21">
        <v>37350</v>
      </c>
      <c r="G1057" s="24" t="s">
        <v>313</v>
      </c>
      <c r="H1057" t="s">
        <v>292</v>
      </c>
      <c r="I1057" t="s">
        <v>311</v>
      </c>
      <c r="J1057" t="s">
        <v>71</v>
      </c>
      <c r="K1057" t="s">
        <v>78</v>
      </c>
      <c r="L1057" t="s">
        <v>203</v>
      </c>
    </row>
    <row r="1058" spans="1:12" x14ac:dyDescent="0.2">
      <c r="A1058">
        <v>6</v>
      </c>
      <c r="B1058" s="21">
        <v>46026</v>
      </c>
      <c r="C1058" t="s">
        <v>325</v>
      </c>
      <c r="D1058">
        <v>15</v>
      </c>
      <c r="E1058" t="s">
        <v>325</v>
      </c>
      <c r="F1058" s="21">
        <v>37350</v>
      </c>
      <c r="G1058" s="24" t="s">
        <v>313</v>
      </c>
      <c r="H1058" t="s">
        <v>292</v>
      </c>
      <c r="I1058" t="s">
        <v>14</v>
      </c>
      <c r="J1058" t="s">
        <v>80</v>
      </c>
      <c r="K1058" t="s">
        <v>78</v>
      </c>
      <c r="L1058" t="s">
        <v>203</v>
      </c>
    </row>
    <row r="1059" spans="1:12" hidden="1" x14ac:dyDescent="0.2">
      <c r="A1059">
        <v>6</v>
      </c>
      <c r="B1059" s="21">
        <v>46026</v>
      </c>
      <c r="C1059" t="s">
        <v>325</v>
      </c>
      <c r="D1059">
        <v>15</v>
      </c>
      <c r="E1059" t="s">
        <v>325</v>
      </c>
      <c r="F1059" s="21">
        <v>37350</v>
      </c>
      <c r="G1059" s="24" t="s">
        <v>313</v>
      </c>
      <c r="H1059" t="s">
        <v>283</v>
      </c>
      <c r="I1059" t="s">
        <v>205</v>
      </c>
      <c r="J1059" t="s">
        <v>66</v>
      </c>
      <c r="K1059" t="s">
        <v>67</v>
      </c>
      <c r="L1059" t="s">
        <v>202</v>
      </c>
    </row>
    <row r="1060" spans="1:12" hidden="1" x14ac:dyDescent="0.2">
      <c r="A1060">
        <v>6</v>
      </c>
      <c r="B1060" s="21">
        <v>46026</v>
      </c>
      <c r="C1060" t="s">
        <v>325</v>
      </c>
      <c r="D1060">
        <v>15</v>
      </c>
      <c r="E1060" t="s">
        <v>325</v>
      </c>
      <c r="F1060" s="21">
        <v>37350</v>
      </c>
      <c r="G1060" s="24" t="s">
        <v>313</v>
      </c>
      <c r="H1060" t="s">
        <v>295</v>
      </c>
      <c r="I1060" t="s">
        <v>30</v>
      </c>
      <c r="K1060" t="s">
        <v>74</v>
      </c>
      <c r="L1060" t="s">
        <v>203</v>
      </c>
    </row>
    <row r="1061" spans="1:12" hidden="1" x14ac:dyDescent="0.2">
      <c r="A1061">
        <v>6</v>
      </c>
      <c r="B1061" s="21">
        <v>46026</v>
      </c>
      <c r="C1061" t="s">
        <v>325</v>
      </c>
      <c r="D1061">
        <v>15</v>
      </c>
      <c r="E1061" t="s">
        <v>325</v>
      </c>
      <c r="F1061" s="21">
        <v>37350</v>
      </c>
      <c r="G1061" s="24" t="s">
        <v>313</v>
      </c>
      <c r="H1061" t="s">
        <v>292</v>
      </c>
      <c r="I1061" t="s">
        <v>200</v>
      </c>
      <c r="J1061" t="s">
        <v>68</v>
      </c>
      <c r="K1061" t="s">
        <v>75</v>
      </c>
      <c r="L1061" t="s">
        <v>204</v>
      </c>
    </row>
    <row r="1062" spans="1:12" hidden="1" x14ac:dyDescent="0.2">
      <c r="A1062">
        <v>6</v>
      </c>
      <c r="B1062" s="21">
        <v>46026</v>
      </c>
      <c r="C1062" t="s">
        <v>325</v>
      </c>
      <c r="D1062">
        <v>15</v>
      </c>
      <c r="E1062" t="s">
        <v>325</v>
      </c>
      <c r="F1062" s="21">
        <v>37350</v>
      </c>
      <c r="G1062" s="24" t="s">
        <v>313</v>
      </c>
      <c r="H1062" t="s">
        <v>293</v>
      </c>
      <c r="I1062" t="s">
        <v>200</v>
      </c>
      <c r="J1062" t="s">
        <v>68</v>
      </c>
      <c r="K1062" t="s">
        <v>75</v>
      </c>
      <c r="L1062" t="s">
        <v>204</v>
      </c>
    </row>
    <row r="1063" spans="1:12" hidden="1" x14ac:dyDescent="0.2">
      <c r="A1063">
        <v>6</v>
      </c>
      <c r="B1063" s="21">
        <v>46026</v>
      </c>
      <c r="C1063" t="s">
        <v>325</v>
      </c>
      <c r="D1063">
        <v>15</v>
      </c>
      <c r="E1063" t="s">
        <v>325</v>
      </c>
      <c r="F1063" s="21">
        <v>37350</v>
      </c>
      <c r="G1063" s="24" t="s">
        <v>313</v>
      </c>
      <c r="H1063" t="s">
        <v>283</v>
      </c>
      <c r="I1063" t="s">
        <v>311</v>
      </c>
      <c r="K1063" t="s">
        <v>73</v>
      </c>
      <c r="L1063" t="s">
        <v>203</v>
      </c>
    </row>
    <row r="1064" spans="1:12" hidden="1" x14ac:dyDescent="0.2">
      <c r="A1064">
        <v>6</v>
      </c>
      <c r="B1064" s="21">
        <v>46026</v>
      </c>
      <c r="C1064" t="s">
        <v>325</v>
      </c>
      <c r="D1064">
        <v>15</v>
      </c>
      <c r="E1064" t="s">
        <v>325</v>
      </c>
      <c r="F1064" s="21">
        <v>37350</v>
      </c>
      <c r="G1064" s="24" t="s">
        <v>313</v>
      </c>
      <c r="H1064" t="s">
        <v>292</v>
      </c>
      <c r="I1064" t="s">
        <v>200</v>
      </c>
      <c r="J1064" t="s">
        <v>68</v>
      </c>
      <c r="K1064" t="s">
        <v>74</v>
      </c>
      <c r="L1064" t="s">
        <v>203</v>
      </c>
    </row>
    <row r="1065" spans="1:12" hidden="1" x14ac:dyDescent="0.2">
      <c r="A1065">
        <v>6</v>
      </c>
      <c r="B1065" s="21">
        <v>46026</v>
      </c>
      <c r="C1065" t="s">
        <v>325</v>
      </c>
      <c r="D1065">
        <v>15</v>
      </c>
      <c r="E1065" t="s">
        <v>325</v>
      </c>
      <c r="F1065" s="21">
        <v>37350</v>
      </c>
      <c r="G1065" s="24" t="s">
        <v>313</v>
      </c>
      <c r="H1065" t="s">
        <v>282</v>
      </c>
      <c r="I1065" t="s">
        <v>200</v>
      </c>
      <c r="J1065" t="s">
        <v>68</v>
      </c>
      <c r="K1065" t="s">
        <v>74</v>
      </c>
      <c r="L1065" t="s">
        <v>203</v>
      </c>
    </row>
    <row r="1066" spans="1:12" hidden="1" x14ac:dyDescent="0.2">
      <c r="A1066">
        <v>6</v>
      </c>
      <c r="B1066" s="21">
        <v>46026</v>
      </c>
      <c r="C1066" t="s">
        <v>325</v>
      </c>
      <c r="D1066">
        <v>15</v>
      </c>
      <c r="E1066" t="s">
        <v>325</v>
      </c>
      <c r="F1066" s="21">
        <v>37350</v>
      </c>
      <c r="G1066" s="24" t="s">
        <v>313</v>
      </c>
      <c r="H1066" t="s">
        <v>295</v>
      </c>
      <c r="I1066" t="s">
        <v>30</v>
      </c>
      <c r="J1066" t="s">
        <v>71</v>
      </c>
      <c r="K1066" t="s">
        <v>72</v>
      </c>
      <c r="L1066" t="s">
        <v>202</v>
      </c>
    </row>
    <row r="1067" spans="1:12" hidden="1" x14ac:dyDescent="0.2">
      <c r="A1067">
        <v>6</v>
      </c>
      <c r="B1067" s="21">
        <v>46026</v>
      </c>
      <c r="C1067" t="s">
        <v>325</v>
      </c>
      <c r="D1067">
        <v>15</v>
      </c>
      <c r="E1067" t="s">
        <v>325</v>
      </c>
      <c r="F1067" s="21">
        <v>37350</v>
      </c>
      <c r="G1067" s="24" t="s">
        <v>313</v>
      </c>
      <c r="H1067" t="s">
        <v>295</v>
      </c>
      <c r="I1067" t="s">
        <v>200</v>
      </c>
      <c r="J1067" t="s">
        <v>71</v>
      </c>
      <c r="K1067" t="s">
        <v>65</v>
      </c>
      <c r="L1067" t="s">
        <v>202</v>
      </c>
    </row>
    <row r="1068" spans="1:12" hidden="1" x14ac:dyDescent="0.2">
      <c r="A1068">
        <v>6</v>
      </c>
      <c r="B1068" s="21">
        <v>46026</v>
      </c>
      <c r="C1068" t="s">
        <v>325</v>
      </c>
      <c r="D1068">
        <v>15</v>
      </c>
      <c r="E1068" t="s">
        <v>325</v>
      </c>
      <c r="F1068" s="21">
        <v>37350</v>
      </c>
      <c r="G1068" s="24" t="s">
        <v>314</v>
      </c>
      <c r="H1068" t="s">
        <v>282</v>
      </c>
      <c r="I1068" t="s">
        <v>200</v>
      </c>
      <c r="J1068" t="s">
        <v>68</v>
      </c>
      <c r="K1068" t="s">
        <v>75</v>
      </c>
      <c r="L1068" t="s">
        <v>204</v>
      </c>
    </row>
    <row r="1069" spans="1:12" hidden="1" x14ac:dyDescent="0.2">
      <c r="A1069">
        <v>6</v>
      </c>
      <c r="B1069" s="21">
        <v>46026</v>
      </c>
      <c r="C1069" t="s">
        <v>325</v>
      </c>
      <c r="D1069">
        <v>15</v>
      </c>
      <c r="E1069" t="s">
        <v>325</v>
      </c>
      <c r="F1069" s="21">
        <v>37350</v>
      </c>
      <c r="G1069" s="24" t="s">
        <v>314</v>
      </c>
      <c r="H1069" t="s">
        <v>294</v>
      </c>
      <c r="I1069" t="s">
        <v>200</v>
      </c>
      <c r="J1069" t="s">
        <v>71</v>
      </c>
      <c r="K1069" t="s">
        <v>75</v>
      </c>
      <c r="L1069" t="s">
        <v>204</v>
      </c>
    </row>
    <row r="1070" spans="1:12" hidden="1" x14ac:dyDescent="0.2">
      <c r="A1070">
        <v>6</v>
      </c>
      <c r="B1070" s="21">
        <v>46026</v>
      </c>
      <c r="C1070" t="s">
        <v>325</v>
      </c>
      <c r="D1070">
        <v>15</v>
      </c>
      <c r="E1070" t="s">
        <v>325</v>
      </c>
      <c r="F1070" s="21">
        <v>37350</v>
      </c>
      <c r="G1070" s="24" t="s">
        <v>314</v>
      </c>
      <c r="H1070" t="s">
        <v>287</v>
      </c>
      <c r="I1070" t="s">
        <v>261</v>
      </c>
      <c r="J1070" t="s">
        <v>66</v>
      </c>
      <c r="K1070" t="s">
        <v>70</v>
      </c>
      <c r="L1070" t="s">
        <v>203</v>
      </c>
    </row>
    <row r="1071" spans="1:12" hidden="1" x14ac:dyDescent="0.2">
      <c r="A1071">
        <v>6</v>
      </c>
      <c r="B1071" s="21">
        <v>46026</v>
      </c>
      <c r="C1071" t="s">
        <v>325</v>
      </c>
      <c r="D1071">
        <v>15</v>
      </c>
      <c r="E1071" t="s">
        <v>325</v>
      </c>
      <c r="F1071" s="21">
        <v>37350</v>
      </c>
      <c r="G1071" s="24" t="s">
        <v>314</v>
      </c>
      <c r="H1071" t="s">
        <v>282</v>
      </c>
      <c r="I1071" t="s">
        <v>200</v>
      </c>
      <c r="J1071" t="s">
        <v>71</v>
      </c>
      <c r="K1071" t="s">
        <v>69</v>
      </c>
      <c r="L1071" t="s">
        <v>204</v>
      </c>
    </row>
    <row r="1072" spans="1:12" hidden="1" x14ac:dyDescent="0.2">
      <c r="A1072">
        <v>6</v>
      </c>
      <c r="B1072" s="21">
        <v>46026</v>
      </c>
      <c r="C1072" t="s">
        <v>325</v>
      </c>
      <c r="D1072">
        <v>15</v>
      </c>
      <c r="E1072" t="s">
        <v>325</v>
      </c>
      <c r="F1072" s="21">
        <v>37350</v>
      </c>
      <c r="G1072" s="24" t="s">
        <v>314</v>
      </c>
      <c r="H1072" t="s">
        <v>282</v>
      </c>
      <c r="I1072" t="s">
        <v>14</v>
      </c>
      <c r="J1072" t="s">
        <v>80</v>
      </c>
      <c r="K1072" t="s">
        <v>69</v>
      </c>
      <c r="L1072" t="s">
        <v>204</v>
      </c>
    </row>
    <row r="1073" spans="1:12" hidden="1" x14ac:dyDescent="0.2">
      <c r="A1073">
        <v>6</v>
      </c>
      <c r="B1073" s="21">
        <v>46026</v>
      </c>
      <c r="C1073" t="s">
        <v>325</v>
      </c>
      <c r="D1073">
        <v>15</v>
      </c>
      <c r="E1073" t="s">
        <v>325</v>
      </c>
      <c r="F1073" s="21">
        <v>37350</v>
      </c>
      <c r="G1073" s="24" t="s">
        <v>314</v>
      </c>
      <c r="H1073" t="s">
        <v>294</v>
      </c>
      <c r="I1073" t="s">
        <v>200</v>
      </c>
      <c r="J1073" t="s">
        <v>71</v>
      </c>
      <c r="K1073" t="s">
        <v>74</v>
      </c>
      <c r="L1073" t="s">
        <v>203</v>
      </c>
    </row>
    <row r="1074" spans="1:12" hidden="1" x14ac:dyDescent="0.2">
      <c r="A1074">
        <v>6</v>
      </c>
      <c r="B1074" s="21">
        <v>46026</v>
      </c>
      <c r="C1074" t="s">
        <v>325</v>
      </c>
      <c r="D1074">
        <v>15</v>
      </c>
      <c r="E1074" t="s">
        <v>325</v>
      </c>
      <c r="F1074" s="21">
        <v>37350</v>
      </c>
      <c r="G1074" s="24" t="s">
        <v>314</v>
      </c>
      <c r="H1074" t="s">
        <v>292</v>
      </c>
      <c r="I1074" t="s">
        <v>311</v>
      </c>
      <c r="J1074" t="s">
        <v>68</v>
      </c>
      <c r="K1074" t="s">
        <v>73</v>
      </c>
      <c r="L1074" t="s">
        <v>203</v>
      </c>
    </row>
    <row r="1075" spans="1:12" hidden="1" x14ac:dyDescent="0.2">
      <c r="A1075">
        <v>6</v>
      </c>
      <c r="B1075" s="21">
        <v>46026</v>
      </c>
      <c r="C1075" t="s">
        <v>325</v>
      </c>
      <c r="D1075">
        <v>15</v>
      </c>
      <c r="E1075" t="s">
        <v>325</v>
      </c>
      <c r="F1075" s="21">
        <v>37350</v>
      </c>
      <c r="G1075" s="24" t="s">
        <v>314</v>
      </c>
      <c r="H1075" t="s">
        <v>283</v>
      </c>
      <c r="I1075" t="s">
        <v>200</v>
      </c>
      <c r="J1075" t="s">
        <v>71</v>
      </c>
      <c r="K1075" t="s">
        <v>67</v>
      </c>
      <c r="L1075" t="s">
        <v>202</v>
      </c>
    </row>
    <row r="1076" spans="1:12" hidden="1" x14ac:dyDescent="0.2">
      <c r="A1076">
        <v>6</v>
      </c>
      <c r="B1076" s="21">
        <v>46026</v>
      </c>
      <c r="C1076" t="s">
        <v>325</v>
      </c>
      <c r="D1076">
        <v>15</v>
      </c>
      <c r="E1076" t="s">
        <v>325</v>
      </c>
      <c r="F1076" s="21">
        <v>37350</v>
      </c>
      <c r="G1076" s="24" t="s">
        <v>314</v>
      </c>
      <c r="H1076" t="s">
        <v>294</v>
      </c>
      <c r="I1076" t="s">
        <v>9</v>
      </c>
      <c r="J1076" t="s">
        <v>66</v>
      </c>
      <c r="K1076" t="s">
        <v>74</v>
      </c>
      <c r="L1076" t="s">
        <v>203</v>
      </c>
    </row>
    <row r="1077" spans="1:12" hidden="1" x14ac:dyDescent="0.2">
      <c r="A1077">
        <v>6</v>
      </c>
      <c r="B1077" s="21">
        <v>46026</v>
      </c>
      <c r="C1077" t="s">
        <v>325</v>
      </c>
      <c r="D1077">
        <v>15</v>
      </c>
      <c r="E1077" t="s">
        <v>325</v>
      </c>
      <c r="F1077" s="21">
        <v>37350</v>
      </c>
      <c r="G1077" s="24" t="s">
        <v>314</v>
      </c>
      <c r="H1077" t="s">
        <v>287</v>
      </c>
      <c r="I1077" t="s">
        <v>199</v>
      </c>
      <c r="J1077" t="s">
        <v>71</v>
      </c>
      <c r="K1077" t="s">
        <v>69</v>
      </c>
      <c r="L1077" t="s">
        <v>204</v>
      </c>
    </row>
    <row r="1078" spans="1:12" hidden="1" x14ac:dyDescent="0.2">
      <c r="A1078">
        <v>6</v>
      </c>
      <c r="B1078" s="21">
        <v>46026</v>
      </c>
      <c r="C1078" t="s">
        <v>325</v>
      </c>
      <c r="D1078">
        <v>15</v>
      </c>
      <c r="E1078" t="s">
        <v>325</v>
      </c>
      <c r="F1078" s="21">
        <v>37350</v>
      </c>
      <c r="G1078" s="24" t="s">
        <v>314</v>
      </c>
      <c r="H1078" t="s">
        <v>294</v>
      </c>
      <c r="I1078" t="s">
        <v>30</v>
      </c>
      <c r="J1078" t="s">
        <v>71</v>
      </c>
      <c r="K1078" t="s">
        <v>73</v>
      </c>
      <c r="L1078" t="s">
        <v>203</v>
      </c>
    </row>
    <row r="1079" spans="1:12" hidden="1" x14ac:dyDescent="0.2">
      <c r="A1079">
        <v>6</v>
      </c>
      <c r="B1079" s="21">
        <v>46026</v>
      </c>
      <c r="C1079" t="s">
        <v>325</v>
      </c>
      <c r="D1079">
        <v>15</v>
      </c>
      <c r="E1079" t="s">
        <v>325</v>
      </c>
      <c r="F1079" s="21">
        <v>37350</v>
      </c>
      <c r="G1079" s="24" t="s">
        <v>314</v>
      </c>
      <c r="H1079" t="s">
        <v>306</v>
      </c>
      <c r="I1079" t="s">
        <v>200</v>
      </c>
      <c r="J1079" t="s">
        <v>71</v>
      </c>
      <c r="K1079" t="s">
        <v>75</v>
      </c>
      <c r="L1079" t="s">
        <v>204</v>
      </c>
    </row>
    <row r="1080" spans="1:12" hidden="1" x14ac:dyDescent="0.2">
      <c r="A1080">
        <v>6</v>
      </c>
      <c r="B1080" s="21">
        <v>46026</v>
      </c>
      <c r="C1080" t="s">
        <v>325</v>
      </c>
      <c r="D1080">
        <v>15</v>
      </c>
      <c r="E1080" t="s">
        <v>325</v>
      </c>
      <c r="F1080" s="21">
        <v>37350</v>
      </c>
      <c r="G1080" s="24" t="s">
        <v>314</v>
      </c>
      <c r="H1080" t="s">
        <v>292</v>
      </c>
      <c r="I1080" t="s">
        <v>311</v>
      </c>
      <c r="J1080" t="s">
        <v>68</v>
      </c>
      <c r="K1080" t="s">
        <v>75</v>
      </c>
      <c r="L1080" t="s">
        <v>204</v>
      </c>
    </row>
    <row r="1081" spans="1:12" hidden="1" x14ac:dyDescent="0.2">
      <c r="A1081">
        <v>6</v>
      </c>
      <c r="B1081" s="21">
        <v>46026</v>
      </c>
      <c r="C1081" t="s">
        <v>325</v>
      </c>
      <c r="D1081">
        <v>15</v>
      </c>
      <c r="E1081" t="s">
        <v>325</v>
      </c>
      <c r="F1081" s="21">
        <v>37350</v>
      </c>
      <c r="G1081" s="24" t="s">
        <v>314</v>
      </c>
      <c r="H1081" t="s">
        <v>306</v>
      </c>
      <c r="I1081" t="s">
        <v>200</v>
      </c>
      <c r="J1081" t="s">
        <v>71</v>
      </c>
      <c r="K1081" t="s">
        <v>65</v>
      </c>
      <c r="L1081" t="s">
        <v>202</v>
      </c>
    </row>
    <row r="1082" spans="1:12" hidden="1" x14ac:dyDescent="0.2">
      <c r="A1082">
        <v>6</v>
      </c>
      <c r="B1082" s="21">
        <v>46026</v>
      </c>
      <c r="C1082" t="s">
        <v>325</v>
      </c>
      <c r="D1082">
        <v>15</v>
      </c>
      <c r="E1082" t="s">
        <v>325</v>
      </c>
      <c r="F1082" s="21">
        <v>37350</v>
      </c>
      <c r="G1082" s="24" t="s">
        <v>314</v>
      </c>
      <c r="H1082" t="s">
        <v>292</v>
      </c>
      <c r="I1082" t="s">
        <v>311</v>
      </c>
      <c r="J1082" t="s">
        <v>71</v>
      </c>
      <c r="K1082" t="s">
        <v>74</v>
      </c>
      <c r="L1082" t="s">
        <v>203</v>
      </c>
    </row>
    <row r="1083" spans="1:12" hidden="1" x14ac:dyDescent="0.2">
      <c r="A1083">
        <v>6</v>
      </c>
      <c r="B1083" s="21">
        <v>46026</v>
      </c>
      <c r="C1083" t="s">
        <v>325</v>
      </c>
      <c r="D1083">
        <v>15</v>
      </c>
      <c r="E1083" t="s">
        <v>325</v>
      </c>
      <c r="F1083" s="21">
        <v>37350</v>
      </c>
      <c r="G1083" s="24" t="s">
        <v>314</v>
      </c>
      <c r="H1083" t="s">
        <v>292</v>
      </c>
      <c r="I1083" t="s">
        <v>6</v>
      </c>
      <c r="J1083" t="s">
        <v>66</v>
      </c>
      <c r="K1083" t="s">
        <v>74</v>
      </c>
      <c r="L1083" t="s">
        <v>203</v>
      </c>
    </row>
    <row r="1084" spans="1:12" x14ac:dyDescent="0.2">
      <c r="A1084">
        <v>6</v>
      </c>
      <c r="B1084" s="21">
        <v>46026</v>
      </c>
      <c r="C1084" t="s">
        <v>325</v>
      </c>
      <c r="D1084">
        <v>15</v>
      </c>
      <c r="E1084" t="s">
        <v>325</v>
      </c>
      <c r="F1084" s="21">
        <v>37350</v>
      </c>
      <c r="G1084" s="24" t="s">
        <v>314</v>
      </c>
      <c r="H1084" t="s">
        <v>306</v>
      </c>
      <c r="I1084" t="s">
        <v>200</v>
      </c>
      <c r="J1084" t="s">
        <v>71</v>
      </c>
      <c r="K1084" t="s">
        <v>78</v>
      </c>
      <c r="L1084" t="s">
        <v>204</v>
      </c>
    </row>
    <row r="1085" spans="1:12" x14ac:dyDescent="0.2">
      <c r="A1085">
        <v>6</v>
      </c>
      <c r="B1085" s="21">
        <v>46026</v>
      </c>
      <c r="C1085" t="s">
        <v>325</v>
      </c>
      <c r="D1085">
        <v>15</v>
      </c>
      <c r="E1085" t="s">
        <v>325</v>
      </c>
      <c r="F1085" s="21">
        <v>37350</v>
      </c>
      <c r="G1085" s="24" t="s">
        <v>314</v>
      </c>
      <c r="H1085" t="s">
        <v>306</v>
      </c>
      <c r="I1085" t="s">
        <v>9</v>
      </c>
      <c r="J1085" t="s">
        <v>71</v>
      </c>
      <c r="K1085" t="s">
        <v>78</v>
      </c>
      <c r="L1085" t="s">
        <v>204</v>
      </c>
    </row>
    <row r="1086" spans="1:12" hidden="1" x14ac:dyDescent="0.2">
      <c r="A1086">
        <v>6</v>
      </c>
      <c r="B1086" s="21">
        <v>46026</v>
      </c>
      <c r="C1086" t="s">
        <v>325</v>
      </c>
      <c r="D1086">
        <v>15</v>
      </c>
      <c r="E1086" t="s">
        <v>325</v>
      </c>
      <c r="F1086" s="21">
        <v>37350</v>
      </c>
      <c r="G1086" s="24" t="s">
        <v>314</v>
      </c>
      <c r="H1086" t="s">
        <v>287</v>
      </c>
      <c r="I1086" t="s">
        <v>199</v>
      </c>
      <c r="J1086" t="s">
        <v>68</v>
      </c>
      <c r="K1086" t="s">
        <v>69</v>
      </c>
      <c r="L1086" t="s">
        <v>204</v>
      </c>
    </row>
    <row r="1087" spans="1:12" hidden="1" x14ac:dyDescent="0.2">
      <c r="A1087">
        <v>6</v>
      </c>
      <c r="B1087" s="21">
        <v>46026</v>
      </c>
      <c r="C1087" t="s">
        <v>325</v>
      </c>
      <c r="D1087">
        <v>15</v>
      </c>
      <c r="E1087" t="s">
        <v>325</v>
      </c>
      <c r="F1087" s="21">
        <v>37350</v>
      </c>
      <c r="G1087" s="24" t="s">
        <v>314</v>
      </c>
      <c r="H1087" t="s">
        <v>293</v>
      </c>
      <c r="I1087" t="s">
        <v>311</v>
      </c>
      <c r="J1087" t="s">
        <v>71</v>
      </c>
      <c r="K1087" t="s">
        <v>70</v>
      </c>
      <c r="L1087" t="s">
        <v>203</v>
      </c>
    </row>
    <row r="1088" spans="1:12" hidden="1" x14ac:dyDescent="0.2">
      <c r="A1088">
        <v>6</v>
      </c>
      <c r="B1088" s="21">
        <v>46026</v>
      </c>
      <c r="C1088" t="s">
        <v>325</v>
      </c>
      <c r="D1088">
        <v>15</v>
      </c>
      <c r="E1088" t="s">
        <v>325</v>
      </c>
      <c r="F1088" s="21">
        <v>37350</v>
      </c>
      <c r="G1088" s="24" t="s">
        <v>314</v>
      </c>
      <c r="H1088" t="s">
        <v>293</v>
      </c>
      <c r="I1088" t="s">
        <v>12</v>
      </c>
      <c r="J1088" t="s">
        <v>71</v>
      </c>
      <c r="K1088" t="s">
        <v>70</v>
      </c>
      <c r="L1088" t="s">
        <v>203</v>
      </c>
    </row>
    <row r="1089" spans="1:12" hidden="1" x14ac:dyDescent="0.2">
      <c r="A1089">
        <v>6</v>
      </c>
      <c r="B1089" s="21">
        <v>46026</v>
      </c>
      <c r="C1089" t="s">
        <v>325</v>
      </c>
      <c r="D1089">
        <v>15</v>
      </c>
      <c r="E1089" t="s">
        <v>325</v>
      </c>
      <c r="F1089" s="21">
        <v>37350</v>
      </c>
      <c r="G1089" s="24" t="s">
        <v>314</v>
      </c>
      <c r="H1089" t="s">
        <v>293</v>
      </c>
      <c r="I1089" t="s">
        <v>40</v>
      </c>
      <c r="J1089" t="s">
        <v>66</v>
      </c>
      <c r="K1089" t="s">
        <v>69</v>
      </c>
      <c r="L1089" t="s">
        <v>204</v>
      </c>
    </row>
    <row r="1090" spans="1:12" hidden="1" x14ac:dyDescent="0.2">
      <c r="A1090">
        <v>6</v>
      </c>
      <c r="B1090" s="21">
        <v>46026</v>
      </c>
      <c r="C1090" t="s">
        <v>325</v>
      </c>
      <c r="D1090">
        <v>15</v>
      </c>
      <c r="E1090" t="s">
        <v>325</v>
      </c>
      <c r="F1090" s="21">
        <v>37350</v>
      </c>
      <c r="G1090" s="24" t="s">
        <v>314</v>
      </c>
      <c r="H1090" t="s">
        <v>306</v>
      </c>
      <c r="I1090" t="s">
        <v>14</v>
      </c>
      <c r="J1090" t="s">
        <v>80</v>
      </c>
      <c r="K1090" t="s">
        <v>69</v>
      </c>
      <c r="L1090" t="s">
        <v>204</v>
      </c>
    </row>
    <row r="1091" spans="1:12" hidden="1" x14ac:dyDescent="0.2">
      <c r="A1091">
        <v>6</v>
      </c>
      <c r="B1091" s="21">
        <v>46026</v>
      </c>
      <c r="C1091" t="s">
        <v>325</v>
      </c>
      <c r="D1091">
        <v>15</v>
      </c>
      <c r="E1091" t="s">
        <v>325</v>
      </c>
      <c r="F1091" s="21">
        <v>37350</v>
      </c>
      <c r="G1091" s="24" t="s">
        <v>314</v>
      </c>
      <c r="H1091" t="s">
        <v>306</v>
      </c>
      <c r="I1091" t="s">
        <v>16</v>
      </c>
      <c r="J1091" t="s">
        <v>66</v>
      </c>
      <c r="K1091" t="s">
        <v>69</v>
      </c>
      <c r="L1091" t="s">
        <v>204</v>
      </c>
    </row>
    <row r="1092" spans="1:12" hidden="1" x14ac:dyDescent="0.2">
      <c r="A1092">
        <v>6</v>
      </c>
      <c r="B1092" s="21">
        <v>46026</v>
      </c>
      <c r="C1092" t="s">
        <v>325</v>
      </c>
      <c r="D1092">
        <v>15</v>
      </c>
      <c r="E1092" t="s">
        <v>325</v>
      </c>
      <c r="F1092" s="21">
        <v>37350</v>
      </c>
      <c r="G1092" s="24" t="s">
        <v>314</v>
      </c>
      <c r="H1092" t="s">
        <v>306</v>
      </c>
      <c r="I1092" t="s">
        <v>200</v>
      </c>
      <c r="J1092" t="s">
        <v>71</v>
      </c>
      <c r="K1092" t="s">
        <v>75</v>
      </c>
      <c r="L1092" t="s">
        <v>204</v>
      </c>
    </row>
    <row r="1093" spans="1:12" hidden="1" x14ac:dyDescent="0.2">
      <c r="A1093">
        <v>6</v>
      </c>
      <c r="B1093" s="21">
        <v>46026</v>
      </c>
      <c r="C1093" t="s">
        <v>325</v>
      </c>
      <c r="D1093">
        <v>15</v>
      </c>
      <c r="E1093" t="s">
        <v>325</v>
      </c>
      <c r="F1093" s="21">
        <v>37350</v>
      </c>
      <c r="G1093" s="24" t="s">
        <v>314</v>
      </c>
      <c r="H1093" t="s">
        <v>292</v>
      </c>
      <c r="I1093" t="s">
        <v>311</v>
      </c>
      <c r="J1093" t="s">
        <v>71</v>
      </c>
      <c r="K1093" t="s">
        <v>75</v>
      </c>
      <c r="L1093" t="s">
        <v>204</v>
      </c>
    </row>
    <row r="1094" spans="1:12" hidden="1" x14ac:dyDescent="0.2">
      <c r="A1094">
        <v>6</v>
      </c>
      <c r="B1094" s="21">
        <v>46026</v>
      </c>
      <c r="C1094" t="s">
        <v>325</v>
      </c>
      <c r="D1094">
        <v>15</v>
      </c>
      <c r="E1094" t="s">
        <v>325</v>
      </c>
      <c r="F1094" s="21">
        <v>37350</v>
      </c>
      <c r="G1094" s="24" t="s">
        <v>276</v>
      </c>
      <c r="H1094" t="s">
        <v>306</v>
      </c>
      <c r="I1094" t="s">
        <v>200</v>
      </c>
      <c r="J1094" t="s">
        <v>71</v>
      </c>
      <c r="K1094" t="s">
        <v>74</v>
      </c>
      <c r="L1094" t="s">
        <v>203</v>
      </c>
    </row>
    <row r="1095" spans="1:12" hidden="1" x14ac:dyDescent="0.2">
      <c r="A1095">
        <v>6</v>
      </c>
      <c r="B1095" s="21">
        <v>46026</v>
      </c>
      <c r="C1095" t="s">
        <v>325</v>
      </c>
      <c r="D1095">
        <v>15</v>
      </c>
      <c r="E1095" t="s">
        <v>325</v>
      </c>
      <c r="F1095" s="21">
        <v>37350</v>
      </c>
      <c r="G1095" s="24" t="s">
        <v>276</v>
      </c>
      <c r="H1095" t="s">
        <v>283</v>
      </c>
      <c r="I1095" t="s">
        <v>200</v>
      </c>
      <c r="J1095" t="s">
        <v>71</v>
      </c>
      <c r="K1095" t="s">
        <v>67</v>
      </c>
      <c r="L1095" t="s">
        <v>202</v>
      </c>
    </row>
    <row r="1096" spans="1:12" hidden="1" x14ac:dyDescent="0.2">
      <c r="A1096">
        <v>6</v>
      </c>
      <c r="B1096" s="21">
        <v>46026</v>
      </c>
      <c r="C1096" t="s">
        <v>325</v>
      </c>
      <c r="D1096">
        <v>15</v>
      </c>
      <c r="E1096" t="s">
        <v>325</v>
      </c>
      <c r="F1096" s="21">
        <v>37350</v>
      </c>
      <c r="G1096" s="24" t="s">
        <v>276</v>
      </c>
      <c r="H1096" t="s">
        <v>295</v>
      </c>
      <c r="I1096" t="s">
        <v>200</v>
      </c>
      <c r="J1096" t="s">
        <v>71</v>
      </c>
      <c r="K1096" t="s">
        <v>65</v>
      </c>
      <c r="L1096" t="s">
        <v>202</v>
      </c>
    </row>
    <row r="1097" spans="1:12" hidden="1" x14ac:dyDescent="0.2">
      <c r="A1097">
        <v>6</v>
      </c>
      <c r="B1097" s="21">
        <v>46026</v>
      </c>
      <c r="C1097" t="s">
        <v>325</v>
      </c>
      <c r="D1097">
        <v>15</v>
      </c>
      <c r="E1097" t="s">
        <v>325</v>
      </c>
      <c r="F1097" s="21">
        <v>37350</v>
      </c>
      <c r="G1097" s="24" t="s">
        <v>276</v>
      </c>
      <c r="H1097" t="s">
        <v>293</v>
      </c>
      <c r="I1097" t="s">
        <v>311</v>
      </c>
      <c r="J1097" t="s">
        <v>68</v>
      </c>
      <c r="K1097" t="s">
        <v>74</v>
      </c>
      <c r="L1097" t="s">
        <v>203</v>
      </c>
    </row>
    <row r="1098" spans="1:12" hidden="1" x14ac:dyDescent="0.2">
      <c r="A1098">
        <v>6</v>
      </c>
      <c r="B1098" s="21">
        <v>46026</v>
      </c>
      <c r="C1098" t="s">
        <v>325</v>
      </c>
      <c r="D1098">
        <v>15</v>
      </c>
      <c r="E1098" t="s">
        <v>325</v>
      </c>
      <c r="F1098" s="21">
        <v>37350</v>
      </c>
      <c r="G1098" s="24" t="s">
        <v>276</v>
      </c>
      <c r="H1098" t="s">
        <v>294</v>
      </c>
      <c r="I1098" t="s">
        <v>6</v>
      </c>
      <c r="J1098" t="s">
        <v>66</v>
      </c>
      <c r="K1098" t="s">
        <v>73</v>
      </c>
      <c r="L1098" t="s">
        <v>203</v>
      </c>
    </row>
    <row r="1099" spans="1:12" hidden="1" x14ac:dyDescent="0.2">
      <c r="A1099">
        <v>6</v>
      </c>
      <c r="B1099" s="21">
        <v>46026</v>
      </c>
      <c r="C1099" t="s">
        <v>325</v>
      </c>
      <c r="D1099">
        <v>15</v>
      </c>
      <c r="E1099" t="s">
        <v>325</v>
      </c>
      <c r="F1099" s="21">
        <v>37350</v>
      </c>
      <c r="G1099" s="24" t="s">
        <v>276</v>
      </c>
      <c r="H1099" t="s">
        <v>292</v>
      </c>
      <c r="I1099" t="s">
        <v>6</v>
      </c>
      <c r="J1099" t="s">
        <v>66</v>
      </c>
      <c r="K1099" t="s">
        <v>73</v>
      </c>
      <c r="L1099" t="s">
        <v>203</v>
      </c>
    </row>
    <row r="1100" spans="1:12" hidden="1" x14ac:dyDescent="0.2">
      <c r="A1100">
        <v>6</v>
      </c>
      <c r="B1100" s="21">
        <v>46026</v>
      </c>
      <c r="C1100" t="s">
        <v>325</v>
      </c>
      <c r="D1100">
        <v>15</v>
      </c>
      <c r="E1100" t="s">
        <v>325</v>
      </c>
      <c r="F1100" s="21">
        <v>37350</v>
      </c>
      <c r="G1100" s="24" t="s">
        <v>276</v>
      </c>
      <c r="H1100" t="s">
        <v>294</v>
      </c>
      <c r="I1100" t="s">
        <v>30</v>
      </c>
      <c r="J1100" t="s">
        <v>64</v>
      </c>
      <c r="K1100" t="s">
        <v>74</v>
      </c>
      <c r="L1100" t="s">
        <v>203</v>
      </c>
    </row>
    <row r="1101" spans="1:12" hidden="1" x14ac:dyDescent="0.2">
      <c r="A1101">
        <v>6</v>
      </c>
      <c r="B1101" s="21">
        <v>46026</v>
      </c>
      <c r="C1101" t="s">
        <v>325</v>
      </c>
      <c r="D1101">
        <v>15</v>
      </c>
      <c r="E1101" t="s">
        <v>325</v>
      </c>
      <c r="F1101" s="21">
        <v>37350</v>
      </c>
      <c r="G1101" s="24" t="s">
        <v>276</v>
      </c>
      <c r="H1101" t="s">
        <v>292</v>
      </c>
      <c r="I1101" t="s">
        <v>30</v>
      </c>
      <c r="J1101" t="s">
        <v>64</v>
      </c>
      <c r="K1101" t="s">
        <v>74</v>
      </c>
      <c r="L1101" t="s">
        <v>203</v>
      </c>
    </row>
    <row r="1102" spans="1:12" hidden="1" x14ac:dyDescent="0.2">
      <c r="A1102">
        <v>6</v>
      </c>
      <c r="B1102" s="21">
        <v>46026</v>
      </c>
      <c r="C1102" t="s">
        <v>325</v>
      </c>
      <c r="D1102">
        <v>15</v>
      </c>
      <c r="E1102" t="s">
        <v>325</v>
      </c>
      <c r="F1102" s="21">
        <v>37350</v>
      </c>
      <c r="G1102" s="24" t="s">
        <v>276</v>
      </c>
      <c r="H1102" t="s">
        <v>293</v>
      </c>
      <c r="I1102" t="s">
        <v>30</v>
      </c>
      <c r="J1102" t="s">
        <v>64</v>
      </c>
      <c r="K1102" t="s">
        <v>74</v>
      </c>
      <c r="L1102" t="s">
        <v>203</v>
      </c>
    </row>
    <row r="1103" spans="1:12" hidden="1" x14ac:dyDescent="0.2">
      <c r="A1103">
        <v>6</v>
      </c>
      <c r="B1103" s="21">
        <v>46026</v>
      </c>
      <c r="C1103" t="s">
        <v>325</v>
      </c>
      <c r="D1103">
        <v>15</v>
      </c>
      <c r="E1103" t="s">
        <v>325</v>
      </c>
      <c r="F1103" s="21">
        <v>37350</v>
      </c>
      <c r="G1103" s="24" t="s">
        <v>276</v>
      </c>
      <c r="H1103" t="s">
        <v>306</v>
      </c>
      <c r="I1103" t="s">
        <v>200</v>
      </c>
      <c r="J1103" t="s">
        <v>71</v>
      </c>
      <c r="K1103" t="s">
        <v>75</v>
      </c>
      <c r="L1103" t="s">
        <v>204</v>
      </c>
    </row>
    <row r="1104" spans="1:12" hidden="1" x14ac:dyDescent="0.2">
      <c r="A1104">
        <v>6</v>
      </c>
      <c r="B1104" s="21">
        <v>46026</v>
      </c>
      <c r="C1104" t="s">
        <v>325</v>
      </c>
      <c r="D1104">
        <v>15</v>
      </c>
      <c r="E1104" t="s">
        <v>325</v>
      </c>
      <c r="F1104" s="21">
        <v>37350</v>
      </c>
      <c r="G1104" s="24" t="s">
        <v>276</v>
      </c>
      <c r="H1104" t="s">
        <v>305</v>
      </c>
      <c r="I1104" t="s">
        <v>200</v>
      </c>
      <c r="J1104" t="s">
        <v>71</v>
      </c>
      <c r="K1104" t="s">
        <v>74</v>
      </c>
      <c r="L1104" t="s">
        <v>203</v>
      </c>
    </row>
    <row r="1105" spans="1:12" hidden="1" x14ac:dyDescent="0.2">
      <c r="A1105">
        <v>6</v>
      </c>
      <c r="B1105" s="21">
        <v>46026</v>
      </c>
      <c r="C1105" t="s">
        <v>325</v>
      </c>
      <c r="D1105">
        <v>15</v>
      </c>
      <c r="E1105" t="s">
        <v>325</v>
      </c>
      <c r="F1105" s="21">
        <v>37350</v>
      </c>
      <c r="G1105" s="24" t="s">
        <v>276</v>
      </c>
      <c r="H1105" t="s">
        <v>292</v>
      </c>
      <c r="I1105" t="s">
        <v>311</v>
      </c>
      <c r="J1105" t="s">
        <v>64</v>
      </c>
      <c r="K1105" t="s">
        <v>75</v>
      </c>
      <c r="L1105" t="s">
        <v>204</v>
      </c>
    </row>
    <row r="1106" spans="1:12" hidden="1" x14ac:dyDescent="0.2">
      <c r="A1106">
        <v>6</v>
      </c>
      <c r="B1106" s="21">
        <v>46026</v>
      </c>
      <c r="C1106" t="s">
        <v>325</v>
      </c>
      <c r="D1106">
        <v>15</v>
      </c>
      <c r="E1106" t="s">
        <v>325</v>
      </c>
      <c r="F1106" s="21">
        <v>37350</v>
      </c>
      <c r="G1106" s="24" t="s">
        <v>276</v>
      </c>
      <c r="H1106" t="s">
        <v>290</v>
      </c>
      <c r="I1106" t="s">
        <v>30</v>
      </c>
      <c r="J1106" t="s">
        <v>71</v>
      </c>
      <c r="K1106" t="s">
        <v>65</v>
      </c>
      <c r="L1106" t="s">
        <v>202</v>
      </c>
    </row>
    <row r="1107" spans="1:12" hidden="1" x14ac:dyDescent="0.2">
      <c r="A1107">
        <v>6</v>
      </c>
      <c r="B1107" s="21">
        <v>46026</v>
      </c>
      <c r="C1107" t="s">
        <v>325</v>
      </c>
      <c r="D1107">
        <v>15</v>
      </c>
      <c r="E1107" t="s">
        <v>325</v>
      </c>
      <c r="F1107" s="21">
        <v>37350</v>
      </c>
      <c r="G1107" s="24" t="s">
        <v>276</v>
      </c>
      <c r="H1107" t="s">
        <v>282</v>
      </c>
      <c r="I1107" t="s">
        <v>38</v>
      </c>
      <c r="J1107" t="s">
        <v>66</v>
      </c>
      <c r="K1107" t="s">
        <v>74</v>
      </c>
      <c r="L1107" t="s">
        <v>203</v>
      </c>
    </row>
    <row r="1108" spans="1:12" hidden="1" x14ac:dyDescent="0.2">
      <c r="A1108">
        <v>6</v>
      </c>
      <c r="B1108" s="21">
        <v>46026</v>
      </c>
      <c r="C1108" t="s">
        <v>325</v>
      </c>
      <c r="D1108">
        <v>15</v>
      </c>
      <c r="E1108" t="s">
        <v>325</v>
      </c>
      <c r="F1108" s="21">
        <v>37350</v>
      </c>
      <c r="G1108" s="24" t="s">
        <v>276</v>
      </c>
      <c r="H1108" t="s">
        <v>282</v>
      </c>
      <c r="I1108" t="s">
        <v>32</v>
      </c>
      <c r="J1108" t="s">
        <v>64</v>
      </c>
      <c r="K1108" t="s">
        <v>74</v>
      </c>
      <c r="L1108" t="s">
        <v>203</v>
      </c>
    </row>
    <row r="1109" spans="1:12" hidden="1" x14ac:dyDescent="0.2">
      <c r="A1109">
        <v>6</v>
      </c>
      <c r="B1109" s="21">
        <v>46026</v>
      </c>
      <c r="C1109" t="s">
        <v>325</v>
      </c>
      <c r="D1109">
        <v>15</v>
      </c>
      <c r="E1109" t="s">
        <v>325</v>
      </c>
      <c r="F1109" s="21">
        <v>37350</v>
      </c>
      <c r="G1109" s="24" t="s">
        <v>276</v>
      </c>
      <c r="H1109" t="s">
        <v>284</v>
      </c>
      <c r="I1109" t="s">
        <v>200</v>
      </c>
      <c r="J1109" t="s">
        <v>71</v>
      </c>
      <c r="K1109" t="s">
        <v>74</v>
      </c>
      <c r="L1109" t="s">
        <v>203</v>
      </c>
    </row>
    <row r="1110" spans="1:12" hidden="1" x14ac:dyDescent="0.2">
      <c r="A1110">
        <v>6</v>
      </c>
      <c r="B1110" s="21">
        <v>46026</v>
      </c>
      <c r="C1110" t="s">
        <v>325</v>
      </c>
      <c r="D1110">
        <v>15</v>
      </c>
      <c r="E1110" t="s">
        <v>325</v>
      </c>
      <c r="F1110" s="21">
        <v>37350</v>
      </c>
      <c r="G1110" s="24" t="s">
        <v>276</v>
      </c>
      <c r="H1110" t="s">
        <v>306</v>
      </c>
      <c r="I1110" t="s">
        <v>200</v>
      </c>
      <c r="J1110" t="s">
        <v>71</v>
      </c>
      <c r="K1110" t="s">
        <v>75</v>
      </c>
      <c r="L1110" t="s">
        <v>204</v>
      </c>
    </row>
    <row r="1111" spans="1:12" hidden="1" x14ac:dyDescent="0.2">
      <c r="A1111">
        <v>6</v>
      </c>
      <c r="B1111" s="21">
        <v>46026</v>
      </c>
      <c r="C1111" t="s">
        <v>325</v>
      </c>
      <c r="D1111">
        <v>15</v>
      </c>
      <c r="E1111" t="s">
        <v>325</v>
      </c>
      <c r="F1111" s="21">
        <v>37350</v>
      </c>
      <c r="G1111" s="24" t="s">
        <v>276</v>
      </c>
      <c r="H1111" t="s">
        <v>306</v>
      </c>
      <c r="I1111" t="s">
        <v>311</v>
      </c>
      <c r="J1111" t="s">
        <v>64</v>
      </c>
      <c r="K1111" t="s">
        <v>75</v>
      </c>
      <c r="L1111" t="s">
        <v>204</v>
      </c>
    </row>
    <row r="1112" spans="1:12" hidden="1" x14ac:dyDescent="0.2">
      <c r="A1112">
        <v>6</v>
      </c>
      <c r="B1112" s="21">
        <v>46026</v>
      </c>
      <c r="C1112" t="s">
        <v>325</v>
      </c>
      <c r="D1112">
        <v>15</v>
      </c>
      <c r="E1112" t="s">
        <v>325</v>
      </c>
      <c r="F1112" s="21">
        <v>37350</v>
      </c>
      <c r="G1112" s="24" t="s">
        <v>276</v>
      </c>
      <c r="H1112" t="s">
        <v>306</v>
      </c>
      <c r="I1112" t="s">
        <v>6</v>
      </c>
      <c r="J1112" t="s">
        <v>64</v>
      </c>
      <c r="K1112" t="s">
        <v>75</v>
      </c>
      <c r="L1112" t="s">
        <v>204</v>
      </c>
    </row>
    <row r="1113" spans="1:12" hidden="1" x14ac:dyDescent="0.2">
      <c r="A1113">
        <v>6</v>
      </c>
      <c r="B1113" s="21">
        <v>46026</v>
      </c>
      <c r="C1113" t="s">
        <v>325</v>
      </c>
      <c r="D1113">
        <v>15</v>
      </c>
      <c r="E1113" t="s">
        <v>325</v>
      </c>
      <c r="F1113" s="21">
        <v>37350</v>
      </c>
      <c r="G1113" s="24" t="s">
        <v>276</v>
      </c>
      <c r="H1113" t="s">
        <v>319</v>
      </c>
      <c r="I1113" t="s">
        <v>30</v>
      </c>
      <c r="J1113" t="s">
        <v>64</v>
      </c>
      <c r="K1113" t="s">
        <v>74</v>
      </c>
      <c r="L1113" t="s">
        <v>203</v>
      </c>
    </row>
    <row r="1114" spans="1:12" hidden="1" x14ac:dyDescent="0.2">
      <c r="A1114">
        <v>6</v>
      </c>
      <c r="B1114" s="21">
        <v>46026</v>
      </c>
      <c r="C1114" t="s">
        <v>325</v>
      </c>
      <c r="D1114">
        <v>15</v>
      </c>
      <c r="E1114" t="s">
        <v>325</v>
      </c>
      <c r="F1114" s="21">
        <v>37350</v>
      </c>
      <c r="G1114" s="24" t="s">
        <v>276</v>
      </c>
      <c r="H1114" t="s">
        <v>319</v>
      </c>
      <c r="I1114" t="s">
        <v>200</v>
      </c>
      <c r="J1114" t="s">
        <v>71</v>
      </c>
      <c r="K1114" t="s">
        <v>79</v>
      </c>
      <c r="L1114" t="s">
        <v>203</v>
      </c>
    </row>
    <row r="1115" spans="1:12" hidden="1" x14ac:dyDescent="0.2">
      <c r="A1115">
        <v>6</v>
      </c>
      <c r="B1115" s="21">
        <v>46026</v>
      </c>
      <c r="C1115" t="s">
        <v>325</v>
      </c>
      <c r="D1115">
        <v>15</v>
      </c>
      <c r="E1115" t="s">
        <v>325</v>
      </c>
      <c r="F1115" s="21">
        <v>37350</v>
      </c>
      <c r="G1115" s="24" t="s">
        <v>276</v>
      </c>
      <c r="H1115" t="s">
        <v>292</v>
      </c>
      <c r="I1115" t="s">
        <v>311</v>
      </c>
      <c r="J1115" t="s">
        <v>64</v>
      </c>
      <c r="K1115" t="s">
        <v>79</v>
      </c>
      <c r="L1115" t="s">
        <v>203</v>
      </c>
    </row>
    <row r="1116" spans="1:12" hidden="1" x14ac:dyDescent="0.2">
      <c r="A1116">
        <v>6</v>
      </c>
      <c r="B1116" s="21">
        <v>46026</v>
      </c>
      <c r="C1116" t="s">
        <v>325</v>
      </c>
      <c r="D1116">
        <v>15</v>
      </c>
      <c r="E1116" t="s">
        <v>325</v>
      </c>
      <c r="F1116" s="21">
        <v>37350</v>
      </c>
      <c r="G1116" s="24" t="s">
        <v>276</v>
      </c>
      <c r="H1116" t="s">
        <v>290</v>
      </c>
      <c r="I1116" t="s">
        <v>30</v>
      </c>
      <c r="J1116" t="s">
        <v>71</v>
      </c>
      <c r="K1116" t="s">
        <v>65</v>
      </c>
      <c r="L1116" t="s">
        <v>202</v>
      </c>
    </row>
    <row r="1117" spans="1:12" hidden="1" x14ac:dyDescent="0.2">
      <c r="A1117">
        <v>6</v>
      </c>
      <c r="B1117" s="21">
        <v>46026</v>
      </c>
      <c r="C1117" t="s">
        <v>325</v>
      </c>
      <c r="D1117">
        <v>15</v>
      </c>
      <c r="E1117" t="s">
        <v>325</v>
      </c>
      <c r="F1117" s="21">
        <v>37350</v>
      </c>
      <c r="G1117" s="24" t="s">
        <v>276</v>
      </c>
      <c r="H1117" t="s">
        <v>284</v>
      </c>
      <c r="I1117" t="s">
        <v>6</v>
      </c>
      <c r="J1117" t="s">
        <v>64</v>
      </c>
      <c r="K1117" t="s">
        <v>74</v>
      </c>
      <c r="L1117" t="s">
        <v>203</v>
      </c>
    </row>
    <row r="1118" spans="1:12" hidden="1" x14ac:dyDescent="0.2">
      <c r="A1118">
        <v>6</v>
      </c>
      <c r="B1118" s="21">
        <v>46026</v>
      </c>
      <c r="C1118" t="s">
        <v>325</v>
      </c>
      <c r="D1118">
        <v>15</v>
      </c>
      <c r="E1118" t="s">
        <v>325</v>
      </c>
      <c r="F1118" s="21">
        <v>37350</v>
      </c>
      <c r="G1118" s="24" t="s">
        <v>276</v>
      </c>
      <c r="H1118" t="s">
        <v>294</v>
      </c>
      <c r="I1118" t="s">
        <v>30</v>
      </c>
      <c r="J1118" t="s">
        <v>64</v>
      </c>
      <c r="K1118" t="s">
        <v>74</v>
      </c>
      <c r="L1118" t="s">
        <v>203</v>
      </c>
    </row>
    <row r="1119" spans="1:12" hidden="1" x14ac:dyDescent="0.2">
      <c r="A1119">
        <v>6</v>
      </c>
      <c r="B1119" s="21">
        <v>46026</v>
      </c>
      <c r="C1119" t="s">
        <v>325</v>
      </c>
      <c r="D1119">
        <v>15</v>
      </c>
      <c r="E1119" t="s">
        <v>325</v>
      </c>
      <c r="F1119" s="21">
        <v>37350</v>
      </c>
      <c r="G1119" s="24" t="s">
        <v>276</v>
      </c>
      <c r="H1119" t="s">
        <v>290</v>
      </c>
      <c r="I1119" t="s">
        <v>6</v>
      </c>
      <c r="J1119" t="s">
        <v>66</v>
      </c>
      <c r="K1119" t="s">
        <v>74</v>
      </c>
      <c r="L1119" t="s">
        <v>203</v>
      </c>
    </row>
    <row r="1120" spans="1:12" hidden="1" x14ac:dyDescent="0.2">
      <c r="A1120">
        <v>6</v>
      </c>
      <c r="B1120" s="21">
        <v>46026</v>
      </c>
      <c r="C1120" t="s">
        <v>325</v>
      </c>
      <c r="D1120">
        <v>15</v>
      </c>
      <c r="E1120" t="s">
        <v>325</v>
      </c>
      <c r="F1120" s="21">
        <v>37350</v>
      </c>
      <c r="G1120" s="24" t="s">
        <v>276</v>
      </c>
      <c r="H1120" t="s">
        <v>319</v>
      </c>
      <c r="I1120" t="s">
        <v>30</v>
      </c>
      <c r="J1120" t="s">
        <v>71</v>
      </c>
      <c r="K1120" t="s">
        <v>74</v>
      </c>
      <c r="L1120" t="s">
        <v>203</v>
      </c>
    </row>
    <row r="1121" spans="1:12" hidden="1" x14ac:dyDescent="0.2">
      <c r="A1121">
        <v>6</v>
      </c>
      <c r="B1121" s="21">
        <v>46026</v>
      </c>
      <c r="C1121" t="s">
        <v>325</v>
      </c>
      <c r="D1121">
        <v>15</v>
      </c>
      <c r="E1121" t="s">
        <v>325</v>
      </c>
      <c r="F1121" s="21">
        <v>37350</v>
      </c>
      <c r="G1121" s="24" t="s">
        <v>276</v>
      </c>
      <c r="H1121" t="s">
        <v>319</v>
      </c>
      <c r="I1121" t="s">
        <v>38</v>
      </c>
      <c r="J1121" t="s">
        <v>66</v>
      </c>
      <c r="K1121" t="s">
        <v>74</v>
      </c>
      <c r="L1121" t="s">
        <v>203</v>
      </c>
    </row>
    <row r="1122" spans="1:12" hidden="1" x14ac:dyDescent="0.2">
      <c r="A1122">
        <v>6</v>
      </c>
      <c r="B1122" s="21">
        <v>46026</v>
      </c>
      <c r="C1122" t="s">
        <v>325</v>
      </c>
      <c r="D1122">
        <v>15</v>
      </c>
      <c r="E1122" t="s">
        <v>325</v>
      </c>
      <c r="F1122" s="21">
        <v>37350</v>
      </c>
      <c r="G1122" s="24" t="s">
        <v>276</v>
      </c>
      <c r="H1122" t="s">
        <v>319</v>
      </c>
      <c r="I1122" t="s">
        <v>200</v>
      </c>
      <c r="J1122" t="s">
        <v>68</v>
      </c>
      <c r="K1122" t="s">
        <v>74</v>
      </c>
      <c r="L1122" t="s">
        <v>203</v>
      </c>
    </row>
    <row r="1123" spans="1:12" hidden="1" x14ac:dyDescent="0.2">
      <c r="A1123">
        <v>6</v>
      </c>
      <c r="B1123" s="21">
        <v>46026</v>
      </c>
      <c r="C1123" t="s">
        <v>325</v>
      </c>
      <c r="D1123">
        <v>15</v>
      </c>
      <c r="E1123" t="s">
        <v>325</v>
      </c>
      <c r="F1123" s="21">
        <v>37350</v>
      </c>
      <c r="G1123" s="24" t="s">
        <v>276</v>
      </c>
      <c r="H1123" t="s">
        <v>305</v>
      </c>
      <c r="I1123" t="s">
        <v>311</v>
      </c>
      <c r="J1123" t="s">
        <v>66</v>
      </c>
      <c r="K1123" t="s">
        <v>72</v>
      </c>
      <c r="L1123" t="s">
        <v>202</v>
      </c>
    </row>
    <row r="1124" spans="1:12" hidden="1" x14ac:dyDescent="0.2">
      <c r="A1124">
        <v>6</v>
      </c>
      <c r="B1124" s="21">
        <v>46026</v>
      </c>
      <c r="C1124" t="s">
        <v>325</v>
      </c>
      <c r="D1124">
        <v>15</v>
      </c>
      <c r="E1124" t="s">
        <v>325</v>
      </c>
      <c r="F1124" s="21">
        <v>37350</v>
      </c>
      <c r="G1124" s="24" t="s">
        <v>276</v>
      </c>
      <c r="H1124" t="s">
        <v>305</v>
      </c>
      <c r="I1124" t="s">
        <v>6</v>
      </c>
      <c r="J1124" t="s">
        <v>66</v>
      </c>
      <c r="K1124" t="s">
        <v>72</v>
      </c>
      <c r="L1124" t="s">
        <v>202</v>
      </c>
    </row>
    <row r="1125" spans="1:12" hidden="1" x14ac:dyDescent="0.2">
      <c r="A1125">
        <v>6</v>
      </c>
      <c r="B1125" s="21">
        <v>46026</v>
      </c>
      <c r="C1125" t="s">
        <v>325</v>
      </c>
      <c r="D1125">
        <v>15</v>
      </c>
      <c r="E1125" t="s">
        <v>325</v>
      </c>
      <c r="F1125" s="21">
        <v>37350</v>
      </c>
      <c r="G1125" s="24" t="s">
        <v>276</v>
      </c>
      <c r="H1125" t="s">
        <v>285</v>
      </c>
      <c r="I1125" t="s">
        <v>12</v>
      </c>
      <c r="J1125" t="s">
        <v>64</v>
      </c>
      <c r="K1125" t="s">
        <v>79</v>
      </c>
      <c r="L1125" t="s">
        <v>203</v>
      </c>
    </row>
    <row r="1126" spans="1:12" hidden="1" x14ac:dyDescent="0.2">
      <c r="A1126">
        <v>6</v>
      </c>
      <c r="B1126" s="21">
        <v>46026</v>
      </c>
      <c r="C1126" t="s">
        <v>325</v>
      </c>
      <c r="D1126">
        <v>15</v>
      </c>
      <c r="E1126" t="s">
        <v>325</v>
      </c>
      <c r="F1126" s="21">
        <v>37350</v>
      </c>
      <c r="G1126" s="24" t="s">
        <v>276</v>
      </c>
      <c r="H1126" t="s">
        <v>292</v>
      </c>
      <c r="I1126" t="s">
        <v>199</v>
      </c>
      <c r="J1126" t="s">
        <v>71</v>
      </c>
      <c r="K1126" t="s">
        <v>75</v>
      </c>
      <c r="L1126" t="s">
        <v>204</v>
      </c>
    </row>
    <row r="1127" spans="1:12" hidden="1" x14ac:dyDescent="0.2">
      <c r="A1127">
        <v>6</v>
      </c>
      <c r="B1127" s="21">
        <v>46026</v>
      </c>
      <c r="C1127" t="s">
        <v>325</v>
      </c>
      <c r="D1127">
        <v>15</v>
      </c>
      <c r="E1127" t="s">
        <v>325</v>
      </c>
      <c r="F1127" s="21">
        <v>37350</v>
      </c>
      <c r="G1127" s="24" t="s">
        <v>276</v>
      </c>
      <c r="H1127" t="s">
        <v>292</v>
      </c>
      <c r="I1127" t="s">
        <v>6</v>
      </c>
      <c r="J1127" t="s">
        <v>66</v>
      </c>
      <c r="K1127" t="s">
        <v>75</v>
      </c>
      <c r="L1127" t="s">
        <v>204</v>
      </c>
    </row>
    <row r="1128" spans="1:12" hidden="1" x14ac:dyDescent="0.2">
      <c r="A1128">
        <v>6</v>
      </c>
      <c r="B1128" s="21">
        <v>46026</v>
      </c>
      <c r="C1128" t="s">
        <v>325</v>
      </c>
      <c r="D1128">
        <v>15</v>
      </c>
      <c r="E1128" t="s">
        <v>325</v>
      </c>
      <c r="F1128" s="21">
        <v>37350</v>
      </c>
      <c r="G1128" s="24" t="s">
        <v>276</v>
      </c>
      <c r="H1128" t="s">
        <v>319</v>
      </c>
      <c r="I1128" t="s">
        <v>200</v>
      </c>
      <c r="J1128" t="s">
        <v>71</v>
      </c>
      <c r="K1128" t="s">
        <v>72</v>
      </c>
      <c r="L1128" t="s">
        <v>202</v>
      </c>
    </row>
    <row r="1129" spans="1:12" hidden="1" x14ac:dyDescent="0.2">
      <c r="A1129">
        <v>6</v>
      </c>
      <c r="B1129" s="21">
        <v>46026</v>
      </c>
      <c r="C1129" t="s">
        <v>325</v>
      </c>
      <c r="D1129">
        <v>15</v>
      </c>
      <c r="E1129" t="s">
        <v>325</v>
      </c>
      <c r="F1129" s="21">
        <v>37350</v>
      </c>
      <c r="G1129" s="24" t="s">
        <v>276</v>
      </c>
      <c r="H1129" t="s">
        <v>294</v>
      </c>
      <c r="I1129" t="s">
        <v>30</v>
      </c>
      <c r="J1129" t="s">
        <v>71</v>
      </c>
      <c r="K1129" t="s">
        <v>74</v>
      </c>
      <c r="L1129" t="s">
        <v>203</v>
      </c>
    </row>
    <row r="1130" spans="1:12" hidden="1" x14ac:dyDescent="0.2">
      <c r="A1130">
        <v>6</v>
      </c>
      <c r="B1130" s="21">
        <v>46026</v>
      </c>
      <c r="C1130" t="s">
        <v>325</v>
      </c>
      <c r="D1130">
        <v>15</v>
      </c>
      <c r="E1130" t="s">
        <v>325</v>
      </c>
      <c r="F1130" s="21">
        <v>37350</v>
      </c>
      <c r="G1130" s="24" t="s">
        <v>276</v>
      </c>
      <c r="H1130" t="s">
        <v>305</v>
      </c>
      <c r="I1130" t="s">
        <v>200</v>
      </c>
      <c r="J1130" t="s">
        <v>71</v>
      </c>
      <c r="K1130" t="s">
        <v>72</v>
      </c>
      <c r="L1130" t="s">
        <v>202</v>
      </c>
    </row>
    <row r="1131" spans="1:12" hidden="1" x14ac:dyDescent="0.2">
      <c r="A1131">
        <v>6</v>
      </c>
      <c r="B1131" s="21">
        <v>46026</v>
      </c>
      <c r="C1131" t="s">
        <v>325</v>
      </c>
      <c r="D1131">
        <v>15</v>
      </c>
      <c r="E1131" t="s">
        <v>325</v>
      </c>
      <c r="F1131" s="21">
        <v>37350</v>
      </c>
      <c r="G1131" s="24" t="s">
        <v>276</v>
      </c>
      <c r="H1131" t="s">
        <v>285</v>
      </c>
      <c r="I1131" t="s">
        <v>199</v>
      </c>
      <c r="J1131" t="s">
        <v>71</v>
      </c>
      <c r="K1131" t="s">
        <v>73</v>
      </c>
      <c r="L1131" t="s">
        <v>203</v>
      </c>
    </row>
    <row r="1132" spans="1:12" hidden="1" x14ac:dyDescent="0.2">
      <c r="A1132">
        <v>6</v>
      </c>
      <c r="B1132" s="21">
        <v>46026</v>
      </c>
      <c r="C1132" t="s">
        <v>325</v>
      </c>
      <c r="D1132">
        <v>15</v>
      </c>
      <c r="E1132" t="s">
        <v>325</v>
      </c>
      <c r="F1132" s="21">
        <v>37350</v>
      </c>
      <c r="G1132" s="24" t="s">
        <v>276</v>
      </c>
      <c r="H1132" t="s">
        <v>285</v>
      </c>
      <c r="I1132" t="s">
        <v>199</v>
      </c>
      <c r="J1132" t="s">
        <v>71</v>
      </c>
      <c r="K1132" t="s">
        <v>69</v>
      </c>
      <c r="L1132" t="s">
        <v>204</v>
      </c>
    </row>
    <row r="1133" spans="1:12" hidden="1" x14ac:dyDescent="0.2">
      <c r="A1133">
        <v>6</v>
      </c>
      <c r="B1133" s="21">
        <v>46026</v>
      </c>
      <c r="C1133" t="s">
        <v>325</v>
      </c>
      <c r="D1133">
        <v>15</v>
      </c>
      <c r="E1133" t="s">
        <v>325</v>
      </c>
      <c r="F1133" s="21">
        <v>37350</v>
      </c>
      <c r="G1133" s="24" t="s">
        <v>276</v>
      </c>
      <c r="H1133" t="s">
        <v>284</v>
      </c>
      <c r="I1133" t="s">
        <v>200</v>
      </c>
      <c r="J1133" t="s">
        <v>71</v>
      </c>
      <c r="K1133" t="s">
        <v>73</v>
      </c>
      <c r="L1133" t="s">
        <v>203</v>
      </c>
    </row>
    <row r="1134" spans="1:12" hidden="1" x14ac:dyDescent="0.2">
      <c r="A1134">
        <v>6</v>
      </c>
      <c r="B1134" s="21">
        <v>46026</v>
      </c>
      <c r="C1134" t="s">
        <v>325</v>
      </c>
      <c r="D1134">
        <v>15</v>
      </c>
      <c r="E1134" t="s">
        <v>325</v>
      </c>
      <c r="F1134" s="21">
        <v>37350</v>
      </c>
      <c r="G1134" s="24" t="s">
        <v>276</v>
      </c>
      <c r="H1134" t="s">
        <v>294</v>
      </c>
      <c r="I1134" t="s">
        <v>311</v>
      </c>
      <c r="J1134" t="s">
        <v>71</v>
      </c>
      <c r="K1134" t="s">
        <v>73</v>
      </c>
      <c r="L1134" t="s">
        <v>203</v>
      </c>
    </row>
    <row r="1135" spans="1:12" hidden="1" x14ac:dyDescent="0.2">
      <c r="A1135">
        <v>6</v>
      </c>
      <c r="B1135" s="21">
        <v>46026</v>
      </c>
      <c r="C1135" t="s">
        <v>325</v>
      </c>
      <c r="D1135">
        <v>15</v>
      </c>
      <c r="E1135" t="s">
        <v>325</v>
      </c>
      <c r="F1135" s="21">
        <v>37350</v>
      </c>
      <c r="G1135" s="24" t="s">
        <v>276</v>
      </c>
      <c r="H1135" t="s">
        <v>285</v>
      </c>
      <c r="I1135" t="s">
        <v>200</v>
      </c>
      <c r="J1135" t="s">
        <v>71</v>
      </c>
      <c r="K1135" t="s">
        <v>75</v>
      </c>
      <c r="L1135" t="s">
        <v>204</v>
      </c>
    </row>
    <row r="1136" spans="1:12" hidden="1" x14ac:dyDescent="0.2">
      <c r="A1136">
        <v>6</v>
      </c>
      <c r="B1136" s="21">
        <v>46026</v>
      </c>
      <c r="C1136" t="s">
        <v>325</v>
      </c>
      <c r="D1136">
        <v>15</v>
      </c>
      <c r="E1136" t="s">
        <v>325</v>
      </c>
      <c r="F1136" s="21">
        <v>37350</v>
      </c>
      <c r="G1136" s="24" t="s">
        <v>276</v>
      </c>
      <c r="H1136" t="s">
        <v>292</v>
      </c>
      <c r="I1136" t="s">
        <v>14</v>
      </c>
      <c r="J1136" t="s">
        <v>80</v>
      </c>
      <c r="K1136" t="s">
        <v>75</v>
      </c>
      <c r="L1136" t="s">
        <v>204</v>
      </c>
    </row>
    <row r="1137" spans="1:12" x14ac:dyDescent="0.2">
      <c r="A1137">
        <v>6</v>
      </c>
      <c r="B1137" s="21">
        <v>46026</v>
      </c>
      <c r="C1137" t="s">
        <v>325</v>
      </c>
      <c r="D1137">
        <v>15</v>
      </c>
      <c r="E1137" t="s">
        <v>325</v>
      </c>
      <c r="F1137" s="21">
        <v>37350</v>
      </c>
      <c r="G1137" s="24" t="s">
        <v>276</v>
      </c>
      <c r="H1137" t="s">
        <v>294</v>
      </c>
      <c r="I1137" t="s">
        <v>200</v>
      </c>
      <c r="J1137" t="s">
        <v>71</v>
      </c>
      <c r="K1137" t="s">
        <v>78</v>
      </c>
      <c r="L1137" t="s">
        <v>203</v>
      </c>
    </row>
    <row r="1138" spans="1:12" x14ac:dyDescent="0.2">
      <c r="A1138">
        <v>6</v>
      </c>
      <c r="B1138" s="21">
        <v>46026</v>
      </c>
      <c r="C1138" t="s">
        <v>325</v>
      </c>
      <c r="D1138">
        <v>15</v>
      </c>
      <c r="E1138" t="s">
        <v>325</v>
      </c>
      <c r="F1138" s="21">
        <v>37350</v>
      </c>
      <c r="G1138" s="24" t="s">
        <v>276</v>
      </c>
      <c r="H1138" t="s">
        <v>294</v>
      </c>
      <c r="I1138" t="s">
        <v>30</v>
      </c>
      <c r="J1138" t="s">
        <v>71</v>
      </c>
      <c r="K1138" t="s">
        <v>78</v>
      </c>
      <c r="L1138" t="s">
        <v>203</v>
      </c>
    </row>
    <row r="1139" spans="1:12" hidden="1" x14ac:dyDescent="0.2">
      <c r="A1139">
        <v>6</v>
      </c>
      <c r="B1139" s="21">
        <v>46026</v>
      </c>
      <c r="C1139" t="s">
        <v>325</v>
      </c>
      <c r="D1139">
        <v>15</v>
      </c>
      <c r="E1139" t="s">
        <v>325</v>
      </c>
      <c r="F1139" s="21">
        <v>37350</v>
      </c>
      <c r="G1139" s="24" t="s">
        <v>276</v>
      </c>
      <c r="H1139" t="s">
        <v>295</v>
      </c>
      <c r="I1139" t="s">
        <v>200</v>
      </c>
      <c r="J1139" t="s">
        <v>71</v>
      </c>
      <c r="K1139" t="s">
        <v>65</v>
      </c>
      <c r="L1139" t="s">
        <v>202</v>
      </c>
    </row>
    <row r="1140" spans="1:12" hidden="1" x14ac:dyDescent="0.2">
      <c r="A1140">
        <v>6</v>
      </c>
      <c r="B1140" s="21">
        <v>46026</v>
      </c>
      <c r="C1140" t="s">
        <v>325</v>
      </c>
      <c r="D1140">
        <v>15</v>
      </c>
      <c r="E1140" t="s">
        <v>325</v>
      </c>
      <c r="F1140" s="21">
        <v>37350</v>
      </c>
      <c r="G1140" s="24" t="s">
        <v>276</v>
      </c>
    </row>
    <row r="1141" spans="1:12" hidden="1" x14ac:dyDescent="0.2">
      <c r="A1141">
        <v>6</v>
      </c>
      <c r="B1141" s="21">
        <v>46026</v>
      </c>
      <c r="C1141" t="s">
        <v>325</v>
      </c>
      <c r="D1141">
        <v>15</v>
      </c>
      <c r="E1141" t="s">
        <v>325</v>
      </c>
      <c r="F1141" s="21">
        <v>37350</v>
      </c>
      <c r="G1141" s="24" t="s">
        <v>276</v>
      </c>
    </row>
    <row r="1142" spans="1:12" x14ac:dyDescent="0.2">
      <c r="A1142">
        <v>7</v>
      </c>
      <c r="B1142" s="21">
        <v>46026</v>
      </c>
      <c r="C1142" t="s">
        <v>325</v>
      </c>
      <c r="D1142">
        <v>15</v>
      </c>
      <c r="E1142" t="s">
        <v>325</v>
      </c>
      <c r="F1142" s="21">
        <v>37350</v>
      </c>
      <c r="G1142" s="24" t="s">
        <v>307</v>
      </c>
      <c r="H1142" t="s">
        <v>294</v>
      </c>
      <c r="I1142" t="s">
        <v>6</v>
      </c>
      <c r="J1142" t="s">
        <v>66</v>
      </c>
      <c r="K1142" t="s">
        <v>74</v>
      </c>
    </row>
    <row r="1143" spans="1:12" x14ac:dyDescent="0.2">
      <c r="A1143">
        <v>7</v>
      </c>
      <c r="B1143" s="21">
        <v>46026</v>
      </c>
      <c r="C1143" t="s">
        <v>325</v>
      </c>
      <c r="D1143">
        <v>15</v>
      </c>
      <c r="E1143" t="s">
        <v>325</v>
      </c>
      <c r="F1143" s="21">
        <v>37350</v>
      </c>
      <c r="G1143" s="24" t="s">
        <v>307</v>
      </c>
      <c r="H1143" t="s">
        <v>292</v>
      </c>
      <c r="I1143" t="s">
        <v>200</v>
      </c>
      <c r="J1143" t="s">
        <v>71</v>
      </c>
      <c r="K1143" t="s">
        <v>73</v>
      </c>
    </row>
    <row r="1144" spans="1:12" x14ac:dyDescent="0.2">
      <c r="A1144">
        <v>7</v>
      </c>
      <c r="B1144" s="21">
        <v>46026</v>
      </c>
      <c r="C1144" t="s">
        <v>325</v>
      </c>
      <c r="D1144">
        <v>15</v>
      </c>
      <c r="E1144" t="s">
        <v>325</v>
      </c>
      <c r="F1144" s="21">
        <v>37350</v>
      </c>
      <c r="G1144" s="24" t="s">
        <v>307</v>
      </c>
      <c r="H1144" t="s">
        <v>293</v>
      </c>
      <c r="I1144" t="s">
        <v>6</v>
      </c>
      <c r="J1144" t="s">
        <v>66</v>
      </c>
      <c r="K1144" t="s">
        <v>74</v>
      </c>
    </row>
    <row r="1145" spans="1:12" x14ac:dyDescent="0.2">
      <c r="A1145">
        <v>7</v>
      </c>
      <c r="B1145" s="21">
        <v>46026</v>
      </c>
      <c r="C1145" t="s">
        <v>325</v>
      </c>
      <c r="D1145">
        <v>15</v>
      </c>
      <c r="E1145" t="s">
        <v>325</v>
      </c>
      <c r="F1145" s="21">
        <v>37350</v>
      </c>
      <c r="G1145" s="24" t="s">
        <v>307</v>
      </c>
      <c r="H1145" t="s">
        <v>283</v>
      </c>
      <c r="I1145" t="s">
        <v>261</v>
      </c>
      <c r="J1145" t="s">
        <v>66</v>
      </c>
      <c r="K1145" t="s">
        <v>67</v>
      </c>
    </row>
    <row r="1146" spans="1:12" x14ac:dyDescent="0.2">
      <c r="A1146">
        <v>7</v>
      </c>
      <c r="B1146" s="21">
        <v>46026</v>
      </c>
      <c r="C1146" t="s">
        <v>325</v>
      </c>
      <c r="D1146">
        <v>15</v>
      </c>
      <c r="E1146" t="s">
        <v>325</v>
      </c>
      <c r="F1146" s="21">
        <v>37350</v>
      </c>
      <c r="G1146" s="24" t="s">
        <v>307</v>
      </c>
      <c r="H1146" t="s">
        <v>283</v>
      </c>
      <c r="I1146" t="s">
        <v>30</v>
      </c>
      <c r="J1146" t="s">
        <v>71</v>
      </c>
      <c r="K1146" t="s">
        <v>74</v>
      </c>
    </row>
    <row r="1147" spans="1:12" x14ac:dyDescent="0.2">
      <c r="A1147">
        <v>7</v>
      </c>
      <c r="B1147" s="21">
        <v>46026</v>
      </c>
      <c r="C1147" t="s">
        <v>325</v>
      </c>
      <c r="D1147">
        <v>15</v>
      </c>
      <c r="E1147" t="s">
        <v>325</v>
      </c>
      <c r="F1147" s="21">
        <v>37350</v>
      </c>
      <c r="G1147" s="24" t="s">
        <v>307</v>
      </c>
      <c r="H1147" t="s">
        <v>283</v>
      </c>
      <c r="I1147" t="s">
        <v>30</v>
      </c>
      <c r="J1147" t="s">
        <v>71</v>
      </c>
      <c r="K1147" t="s">
        <v>74</v>
      </c>
    </row>
    <row r="1148" spans="1:12" x14ac:dyDescent="0.2">
      <c r="A1148">
        <v>7</v>
      </c>
      <c r="B1148" s="21">
        <v>46026</v>
      </c>
      <c r="C1148" t="s">
        <v>325</v>
      </c>
      <c r="D1148">
        <v>15</v>
      </c>
      <c r="E1148" t="s">
        <v>325</v>
      </c>
      <c r="F1148" s="21">
        <v>37350</v>
      </c>
      <c r="G1148" s="24" t="s">
        <v>307</v>
      </c>
      <c r="H1148" t="s">
        <v>294</v>
      </c>
      <c r="I1148" t="s">
        <v>200</v>
      </c>
      <c r="J1148" t="s">
        <v>71</v>
      </c>
      <c r="K1148" t="s">
        <v>74</v>
      </c>
    </row>
    <row r="1149" spans="1:12" x14ac:dyDescent="0.2">
      <c r="A1149">
        <v>7</v>
      </c>
      <c r="B1149" s="21">
        <v>46026</v>
      </c>
      <c r="C1149" t="s">
        <v>325</v>
      </c>
      <c r="D1149">
        <v>15</v>
      </c>
      <c r="E1149" t="s">
        <v>325</v>
      </c>
      <c r="F1149" s="21">
        <v>37350</v>
      </c>
      <c r="G1149" s="24" t="s">
        <v>307</v>
      </c>
      <c r="H1149" t="s">
        <v>294</v>
      </c>
      <c r="I1149" t="s">
        <v>199</v>
      </c>
      <c r="J1149" t="s">
        <v>71</v>
      </c>
      <c r="K1149" t="s">
        <v>74</v>
      </c>
    </row>
    <row r="1150" spans="1:12" x14ac:dyDescent="0.2">
      <c r="A1150">
        <v>7</v>
      </c>
      <c r="B1150" s="21">
        <v>46026</v>
      </c>
      <c r="C1150" t="s">
        <v>325</v>
      </c>
      <c r="D1150">
        <v>15</v>
      </c>
      <c r="E1150" t="s">
        <v>325</v>
      </c>
      <c r="F1150" s="21">
        <v>37350</v>
      </c>
      <c r="G1150" s="24" t="s">
        <v>307</v>
      </c>
      <c r="H1150" t="s">
        <v>293</v>
      </c>
      <c r="I1150" t="s">
        <v>6</v>
      </c>
      <c r="K1150" t="s">
        <v>74</v>
      </c>
    </row>
    <row r="1151" spans="1:12" x14ac:dyDescent="0.2">
      <c r="A1151">
        <v>7</v>
      </c>
      <c r="B1151" s="21">
        <v>46026</v>
      </c>
      <c r="C1151" t="s">
        <v>325</v>
      </c>
      <c r="D1151">
        <v>15</v>
      </c>
      <c r="E1151" t="s">
        <v>325</v>
      </c>
      <c r="F1151" s="21">
        <v>37350</v>
      </c>
      <c r="G1151" s="24" t="s">
        <v>307</v>
      </c>
      <c r="H1151" t="s">
        <v>294</v>
      </c>
      <c r="I1151" t="s">
        <v>205</v>
      </c>
      <c r="J1151" t="s">
        <v>66</v>
      </c>
      <c r="K1151" t="s">
        <v>74</v>
      </c>
    </row>
    <row r="1152" spans="1:12" x14ac:dyDescent="0.2">
      <c r="A1152">
        <v>7</v>
      </c>
      <c r="B1152" s="21">
        <v>46026</v>
      </c>
      <c r="C1152" t="s">
        <v>325</v>
      </c>
      <c r="D1152">
        <v>15</v>
      </c>
      <c r="E1152" t="s">
        <v>325</v>
      </c>
      <c r="F1152" s="21">
        <v>37350</v>
      </c>
      <c r="G1152" s="24" t="s">
        <v>307</v>
      </c>
      <c r="H1152" t="s">
        <v>293</v>
      </c>
      <c r="I1152" t="s">
        <v>34</v>
      </c>
      <c r="J1152" t="s">
        <v>71</v>
      </c>
      <c r="K1152" t="s">
        <v>75</v>
      </c>
    </row>
    <row r="1153" spans="1:13" x14ac:dyDescent="0.2">
      <c r="A1153">
        <v>7</v>
      </c>
      <c r="B1153" s="21">
        <v>46026</v>
      </c>
      <c r="C1153" t="s">
        <v>325</v>
      </c>
      <c r="D1153">
        <v>15</v>
      </c>
      <c r="E1153" t="s">
        <v>325</v>
      </c>
      <c r="F1153" s="21">
        <v>37350</v>
      </c>
      <c r="G1153" s="24" t="s">
        <v>307</v>
      </c>
      <c r="H1153" t="s">
        <v>292</v>
      </c>
      <c r="I1153" t="s">
        <v>23</v>
      </c>
      <c r="J1153" t="s">
        <v>66</v>
      </c>
      <c r="K1153" t="s">
        <v>69</v>
      </c>
    </row>
    <row r="1154" spans="1:13" x14ac:dyDescent="0.2">
      <c r="A1154">
        <v>7</v>
      </c>
      <c r="B1154" s="21">
        <v>46026</v>
      </c>
      <c r="C1154" t="s">
        <v>325</v>
      </c>
      <c r="D1154">
        <v>15</v>
      </c>
      <c r="E1154" t="s">
        <v>325</v>
      </c>
      <c r="F1154" s="21">
        <v>37350</v>
      </c>
      <c r="G1154" s="24" t="s">
        <v>307</v>
      </c>
      <c r="H1154" t="s">
        <v>290</v>
      </c>
      <c r="I1154" t="s">
        <v>200</v>
      </c>
      <c r="J1154" t="s">
        <v>71</v>
      </c>
      <c r="K1154" t="s">
        <v>65</v>
      </c>
    </row>
    <row r="1155" spans="1:13" x14ac:dyDescent="0.2">
      <c r="A1155">
        <v>7</v>
      </c>
      <c r="B1155" s="21">
        <v>46026</v>
      </c>
      <c r="C1155" t="s">
        <v>325</v>
      </c>
      <c r="D1155">
        <v>15</v>
      </c>
      <c r="E1155" t="s">
        <v>325</v>
      </c>
      <c r="F1155" s="21">
        <v>37350</v>
      </c>
      <c r="G1155" s="24" t="s">
        <v>307</v>
      </c>
      <c r="H1155" t="s">
        <v>292</v>
      </c>
      <c r="I1155" t="s">
        <v>311</v>
      </c>
      <c r="J1155" t="s">
        <v>64</v>
      </c>
      <c r="K1155" t="s">
        <v>74</v>
      </c>
    </row>
    <row r="1156" spans="1:13" x14ac:dyDescent="0.2">
      <c r="A1156">
        <v>7</v>
      </c>
      <c r="B1156" s="21">
        <v>46026</v>
      </c>
      <c r="C1156" t="s">
        <v>325</v>
      </c>
      <c r="D1156">
        <v>15</v>
      </c>
      <c r="E1156" t="s">
        <v>325</v>
      </c>
      <c r="F1156" s="21">
        <v>37350</v>
      </c>
      <c r="G1156" s="24" t="s">
        <v>307</v>
      </c>
      <c r="H1156" t="s">
        <v>293</v>
      </c>
      <c r="I1156" t="s">
        <v>76</v>
      </c>
      <c r="J1156" t="s">
        <v>66</v>
      </c>
      <c r="K1156" t="s">
        <v>74</v>
      </c>
    </row>
    <row r="1157" spans="1:13" x14ac:dyDescent="0.2">
      <c r="A1157">
        <v>7</v>
      </c>
      <c r="B1157" s="21">
        <v>46026</v>
      </c>
      <c r="C1157" t="s">
        <v>325</v>
      </c>
      <c r="D1157">
        <v>15</v>
      </c>
      <c r="E1157" t="s">
        <v>325</v>
      </c>
      <c r="F1157" s="21">
        <v>37350</v>
      </c>
      <c r="G1157" s="24" t="s">
        <v>307</v>
      </c>
      <c r="H1157" t="s">
        <v>283</v>
      </c>
      <c r="I1157" t="s">
        <v>199</v>
      </c>
      <c r="J1157" t="s">
        <v>68</v>
      </c>
      <c r="K1157" t="s">
        <v>67</v>
      </c>
    </row>
    <row r="1158" spans="1:13" x14ac:dyDescent="0.2">
      <c r="A1158">
        <v>7</v>
      </c>
      <c r="B1158" s="21">
        <v>46026</v>
      </c>
      <c r="C1158" t="s">
        <v>325</v>
      </c>
      <c r="D1158">
        <v>15</v>
      </c>
      <c r="E1158" t="s">
        <v>325</v>
      </c>
      <c r="F1158" s="21">
        <v>37350</v>
      </c>
      <c r="G1158" s="24" t="s">
        <v>307</v>
      </c>
      <c r="H1158" t="s">
        <v>290</v>
      </c>
      <c r="I1158" t="s">
        <v>30</v>
      </c>
      <c r="J1158" t="s">
        <v>66</v>
      </c>
      <c r="K1158" t="s">
        <v>65</v>
      </c>
    </row>
    <row r="1159" spans="1:13" x14ac:dyDescent="0.2">
      <c r="A1159">
        <v>7</v>
      </c>
      <c r="B1159" s="21">
        <v>46026</v>
      </c>
      <c r="C1159" t="s">
        <v>325</v>
      </c>
      <c r="D1159">
        <v>15</v>
      </c>
      <c r="E1159" t="s">
        <v>325</v>
      </c>
      <c r="F1159" s="21">
        <v>37350</v>
      </c>
      <c r="G1159" s="24" t="s">
        <v>307</v>
      </c>
      <c r="H1159" t="s">
        <v>295</v>
      </c>
      <c r="I1159" t="s">
        <v>6</v>
      </c>
      <c r="J1159" t="s">
        <v>64</v>
      </c>
      <c r="K1159" t="s">
        <v>74</v>
      </c>
    </row>
    <row r="1160" spans="1:13" x14ac:dyDescent="0.2">
      <c r="A1160">
        <v>7</v>
      </c>
      <c r="B1160" s="21">
        <v>46026</v>
      </c>
      <c r="C1160" t="s">
        <v>325</v>
      </c>
      <c r="D1160">
        <v>15</v>
      </c>
      <c r="E1160" t="s">
        <v>325</v>
      </c>
      <c r="F1160" s="21">
        <v>37350</v>
      </c>
      <c r="G1160" s="24" t="s">
        <v>307</v>
      </c>
      <c r="H1160" t="s">
        <v>292</v>
      </c>
      <c r="I1160" t="s">
        <v>76</v>
      </c>
      <c r="J1160" t="s">
        <v>64</v>
      </c>
      <c r="K1160" t="s">
        <v>74</v>
      </c>
      <c r="M1160" t="s">
        <v>326</v>
      </c>
    </row>
    <row r="1161" spans="1:13" x14ac:dyDescent="0.2">
      <c r="A1161">
        <v>7</v>
      </c>
      <c r="B1161" s="21">
        <v>46026</v>
      </c>
      <c r="C1161" t="s">
        <v>325</v>
      </c>
      <c r="D1161">
        <v>15</v>
      </c>
      <c r="E1161" t="s">
        <v>325</v>
      </c>
      <c r="F1161" s="21">
        <v>37350</v>
      </c>
      <c r="G1161" s="24" t="s">
        <v>307</v>
      </c>
      <c r="H1161" t="s">
        <v>306</v>
      </c>
      <c r="I1161" t="s">
        <v>76</v>
      </c>
      <c r="J1161" t="s">
        <v>66</v>
      </c>
      <c r="K1161" t="s">
        <v>74</v>
      </c>
    </row>
    <row r="1162" spans="1:13" x14ac:dyDescent="0.2">
      <c r="A1162">
        <v>7</v>
      </c>
      <c r="B1162" s="21">
        <v>46026</v>
      </c>
      <c r="C1162" t="s">
        <v>325</v>
      </c>
      <c r="D1162">
        <v>15</v>
      </c>
      <c r="E1162" t="s">
        <v>325</v>
      </c>
      <c r="F1162" s="21">
        <v>37350</v>
      </c>
      <c r="G1162" s="24" t="s">
        <v>307</v>
      </c>
      <c r="H1162" t="s">
        <v>292</v>
      </c>
      <c r="I1162" t="s">
        <v>199</v>
      </c>
      <c r="J1162" t="s">
        <v>71</v>
      </c>
      <c r="K1162" t="s">
        <v>73</v>
      </c>
    </row>
    <row r="1163" spans="1:13" x14ac:dyDescent="0.2">
      <c r="A1163">
        <v>7</v>
      </c>
      <c r="B1163" s="21">
        <v>46026</v>
      </c>
      <c r="C1163" t="s">
        <v>325</v>
      </c>
      <c r="D1163">
        <v>15</v>
      </c>
      <c r="E1163" t="s">
        <v>325</v>
      </c>
      <c r="F1163" s="21">
        <v>37350</v>
      </c>
      <c r="G1163" s="24" t="s">
        <v>307</v>
      </c>
      <c r="H1163" t="s">
        <v>292</v>
      </c>
      <c r="I1163" t="s">
        <v>9</v>
      </c>
      <c r="J1163" t="s">
        <v>66</v>
      </c>
      <c r="K1163" t="s">
        <v>69</v>
      </c>
    </row>
    <row r="1164" spans="1:13" x14ac:dyDescent="0.2">
      <c r="A1164">
        <v>7</v>
      </c>
      <c r="B1164" s="21">
        <v>46026</v>
      </c>
      <c r="C1164" t="s">
        <v>325</v>
      </c>
      <c r="D1164">
        <v>15</v>
      </c>
      <c r="E1164" t="s">
        <v>325</v>
      </c>
      <c r="F1164" s="21">
        <v>37350</v>
      </c>
      <c r="G1164" s="24" t="s">
        <v>307</v>
      </c>
      <c r="H1164" t="s">
        <v>306</v>
      </c>
      <c r="I1164" t="s">
        <v>14</v>
      </c>
      <c r="J1164" t="s">
        <v>80</v>
      </c>
      <c r="K1164" t="s">
        <v>69</v>
      </c>
    </row>
    <row r="1165" spans="1:13" x14ac:dyDescent="0.2">
      <c r="A1165">
        <v>7</v>
      </c>
      <c r="B1165" s="21">
        <v>46026</v>
      </c>
      <c r="C1165" t="s">
        <v>325</v>
      </c>
      <c r="D1165">
        <v>15</v>
      </c>
      <c r="E1165" t="s">
        <v>325</v>
      </c>
      <c r="F1165" s="21">
        <v>37350</v>
      </c>
      <c r="G1165" s="24" t="s">
        <v>307</v>
      </c>
      <c r="H1165" t="s">
        <v>293</v>
      </c>
      <c r="I1165" t="s">
        <v>261</v>
      </c>
      <c r="J1165" t="s">
        <v>66</v>
      </c>
      <c r="K1165" t="s">
        <v>70</v>
      </c>
      <c r="M1165" t="s">
        <v>327</v>
      </c>
    </row>
    <row r="1166" spans="1:13" x14ac:dyDescent="0.2">
      <c r="A1166">
        <v>7</v>
      </c>
      <c r="B1166" s="21">
        <v>46026</v>
      </c>
      <c r="C1166" t="s">
        <v>325</v>
      </c>
      <c r="D1166">
        <v>15</v>
      </c>
      <c r="E1166" t="s">
        <v>325</v>
      </c>
      <c r="F1166" s="21">
        <v>37350</v>
      </c>
      <c r="G1166" s="24" t="s">
        <v>307</v>
      </c>
      <c r="H1166" t="s">
        <v>283</v>
      </c>
      <c r="I1166" t="s">
        <v>30</v>
      </c>
      <c r="J1166" t="s">
        <v>66</v>
      </c>
      <c r="K1166" t="s">
        <v>67</v>
      </c>
    </row>
    <row r="1167" spans="1:13" x14ac:dyDescent="0.2">
      <c r="A1167">
        <v>7</v>
      </c>
      <c r="B1167" s="21">
        <v>46026</v>
      </c>
      <c r="C1167" t="s">
        <v>325</v>
      </c>
      <c r="D1167">
        <v>15</v>
      </c>
      <c r="E1167" t="s">
        <v>325</v>
      </c>
      <c r="F1167" s="21">
        <v>37350</v>
      </c>
      <c r="G1167" s="24" t="s">
        <v>307</v>
      </c>
      <c r="H1167" t="s">
        <v>283</v>
      </c>
      <c r="I1167" t="s">
        <v>76</v>
      </c>
      <c r="K1167" t="s">
        <v>67</v>
      </c>
    </row>
    <row r="1168" spans="1:13" x14ac:dyDescent="0.2">
      <c r="A1168">
        <v>7</v>
      </c>
      <c r="B1168" s="21">
        <v>46026</v>
      </c>
      <c r="C1168" t="s">
        <v>325</v>
      </c>
      <c r="D1168">
        <v>15</v>
      </c>
      <c r="E1168" t="s">
        <v>325</v>
      </c>
      <c r="F1168" s="21">
        <v>37350</v>
      </c>
      <c r="G1168" s="24" t="s">
        <v>307</v>
      </c>
      <c r="H1168" t="s">
        <v>290</v>
      </c>
      <c r="I1168" t="s">
        <v>200</v>
      </c>
      <c r="J1168" t="s">
        <v>71</v>
      </c>
      <c r="K1168" t="s">
        <v>65</v>
      </c>
    </row>
    <row r="1169" spans="1:11" x14ac:dyDescent="0.2">
      <c r="A1169">
        <v>7</v>
      </c>
      <c r="B1169" s="21">
        <v>46026</v>
      </c>
      <c r="C1169" t="s">
        <v>325</v>
      </c>
      <c r="D1169">
        <v>15</v>
      </c>
      <c r="E1169" t="s">
        <v>325</v>
      </c>
      <c r="F1169" s="21">
        <v>37350</v>
      </c>
      <c r="G1169" s="24" t="s">
        <v>307</v>
      </c>
      <c r="H1169" t="s">
        <v>295</v>
      </c>
      <c r="I1169" t="s">
        <v>200</v>
      </c>
      <c r="J1169" t="s">
        <v>71</v>
      </c>
      <c r="K1169" t="s">
        <v>65</v>
      </c>
    </row>
    <row r="1170" spans="1:11" x14ac:dyDescent="0.2">
      <c r="A1170">
        <v>7</v>
      </c>
      <c r="B1170" s="21">
        <v>46026</v>
      </c>
      <c r="C1170" t="s">
        <v>325</v>
      </c>
      <c r="D1170">
        <v>15</v>
      </c>
      <c r="E1170" t="s">
        <v>325</v>
      </c>
      <c r="F1170" s="21">
        <v>37350</v>
      </c>
      <c r="G1170" s="24" t="s">
        <v>307</v>
      </c>
      <c r="H1170" t="s">
        <v>282</v>
      </c>
      <c r="I1170" t="s">
        <v>6</v>
      </c>
      <c r="J1170" t="s">
        <v>66</v>
      </c>
      <c r="K1170" t="s">
        <v>65</v>
      </c>
    </row>
    <row r="1171" spans="1:11" x14ac:dyDescent="0.2">
      <c r="A1171">
        <v>7</v>
      </c>
      <c r="B1171" s="21">
        <v>46026</v>
      </c>
      <c r="C1171" t="s">
        <v>325</v>
      </c>
      <c r="D1171">
        <v>15</v>
      </c>
      <c r="E1171" t="s">
        <v>325</v>
      </c>
      <c r="F1171" s="21">
        <v>37350</v>
      </c>
      <c r="G1171" s="24" t="s">
        <v>307</v>
      </c>
      <c r="H1171" t="s">
        <v>305</v>
      </c>
      <c r="I1171" t="s">
        <v>261</v>
      </c>
      <c r="J1171" t="s">
        <v>66</v>
      </c>
      <c r="K1171" t="s">
        <v>79</v>
      </c>
    </row>
    <row r="1172" spans="1:11" x14ac:dyDescent="0.2">
      <c r="A1172">
        <v>7</v>
      </c>
      <c r="B1172" s="21">
        <v>46026</v>
      </c>
      <c r="C1172" t="s">
        <v>325</v>
      </c>
      <c r="D1172">
        <v>15</v>
      </c>
      <c r="E1172" t="s">
        <v>325</v>
      </c>
      <c r="F1172" s="21">
        <v>37350</v>
      </c>
      <c r="G1172" s="24" t="s">
        <v>307</v>
      </c>
      <c r="H1172" t="s">
        <v>282</v>
      </c>
      <c r="I1172" t="s">
        <v>30</v>
      </c>
      <c r="J1172" t="s">
        <v>66</v>
      </c>
      <c r="K1172" t="s">
        <v>72</v>
      </c>
    </row>
    <row r="1173" spans="1:11" x14ac:dyDescent="0.2">
      <c r="A1173">
        <v>7</v>
      </c>
      <c r="B1173" s="21">
        <v>46026</v>
      </c>
      <c r="C1173" t="s">
        <v>325</v>
      </c>
      <c r="D1173">
        <v>15</v>
      </c>
      <c r="E1173" t="s">
        <v>325</v>
      </c>
      <c r="F1173" s="21">
        <v>37350</v>
      </c>
      <c r="G1173" s="24" t="s">
        <v>309</v>
      </c>
      <c r="H1173" t="s">
        <v>292</v>
      </c>
      <c r="I1173" t="s">
        <v>30</v>
      </c>
      <c r="J1173" t="s">
        <v>71</v>
      </c>
      <c r="K1173" t="s">
        <v>73</v>
      </c>
    </row>
    <row r="1174" spans="1:11" x14ac:dyDescent="0.2">
      <c r="A1174">
        <v>7</v>
      </c>
      <c r="B1174" s="21">
        <v>46026</v>
      </c>
      <c r="C1174" t="s">
        <v>325</v>
      </c>
      <c r="D1174">
        <v>15</v>
      </c>
      <c r="E1174" t="s">
        <v>325</v>
      </c>
      <c r="F1174" s="21">
        <v>37350</v>
      </c>
      <c r="G1174" s="24" t="s">
        <v>309</v>
      </c>
      <c r="H1174" t="s">
        <v>283</v>
      </c>
      <c r="I1174" t="s">
        <v>200</v>
      </c>
      <c r="J1174" t="s">
        <v>71</v>
      </c>
      <c r="K1174" t="s">
        <v>65</v>
      </c>
    </row>
    <row r="1175" spans="1:11" x14ac:dyDescent="0.2">
      <c r="A1175">
        <v>7</v>
      </c>
      <c r="B1175" s="21">
        <v>46026</v>
      </c>
      <c r="C1175" t="s">
        <v>325</v>
      </c>
      <c r="D1175">
        <v>15</v>
      </c>
      <c r="E1175" t="s">
        <v>325</v>
      </c>
      <c r="F1175" s="21">
        <v>37350</v>
      </c>
      <c r="G1175" s="24" t="s">
        <v>309</v>
      </c>
      <c r="H1175" t="s">
        <v>293</v>
      </c>
      <c r="I1175" t="s">
        <v>311</v>
      </c>
      <c r="J1175" t="s">
        <v>64</v>
      </c>
      <c r="K1175" t="s">
        <v>74</v>
      </c>
    </row>
    <row r="1176" spans="1:11" x14ac:dyDescent="0.2">
      <c r="A1176">
        <v>7</v>
      </c>
      <c r="B1176" s="21">
        <v>46026</v>
      </c>
      <c r="C1176" t="s">
        <v>325</v>
      </c>
      <c r="D1176">
        <v>15</v>
      </c>
      <c r="E1176" t="s">
        <v>325</v>
      </c>
      <c r="F1176" s="21">
        <v>37350</v>
      </c>
      <c r="G1176" s="24" t="s">
        <v>309</v>
      </c>
      <c r="H1176" t="s">
        <v>290</v>
      </c>
      <c r="I1176" t="s">
        <v>30</v>
      </c>
      <c r="J1176" t="s">
        <v>71</v>
      </c>
      <c r="K1176" t="s">
        <v>74</v>
      </c>
    </row>
    <row r="1177" spans="1:11" x14ac:dyDescent="0.2">
      <c r="A1177">
        <v>7</v>
      </c>
      <c r="B1177" s="21">
        <v>46026</v>
      </c>
      <c r="C1177" t="s">
        <v>325</v>
      </c>
      <c r="D1177">
        <v>15</v>
      </c>
      <c r="E1177" t="s">
        <v>325</v>
      </c>
      <c r="F1177" s="21">
        <v>37350</v>
      </c>
      <c r="G1177" s="24" t="s">
        <v>309</v>
      </c>
      <c r="H1177" t="s">
        <v>294</v>
      </c>
      <c r="I1177" t="s">
        <v>205</v>
      </c>
      <c r="J1177" t="s">
        <v>66</v>
      </c>
      <c r="K1177" t="s">
        <v>73</v>
      </c>
    </row>
    <row r="1178" spans="1:11" x14ac:dyDescent="0.2">
      <c r="A1178">
        <v>7</v>
      </c>
      <c r="B1178" s="21">
        <v>46026</v>
      </c>
      <c r="C1178" t="s">
        <v>325</v>
      </c>
      <c r="D1178">
        <v>15</v>
      </c>
      <c r="E1178" t="s">
        <v>325</v>
      </c>
      <c r="F1178" s="21">
        <v>37350</v>
      </c>
      <c r="G1178" s="24" t="s">
        <v>309</v>
      </c>
      <c r="H1178" t="s">
        <v>292</v>
      </c>
      <c r="I1178" t="s">
        <v>199</v>
      </c>
      <c r="J1178" t="s">
        <v>71</v>
      </c>
      <c r="K1178" t="s">
        <v>75</v>
      </c>
    </row>
    <row r="1179" spans="1:11" x14ac:dyDescent="0.2">
      <c r="A1179">
        <v>7</v>
      </c>
      <c r="B1179" s="21">
        <v>46026</v>
      </c>
      <c r="C1179" t="s">
        <v>325</v>
      </c>
      <c r="D1179">
        <v>15</v>
      </c>
      <c r="E1179" t="s">
        <v>325</v>
      </c>
      <c r="F1179" s="21">
        <v>37350</v>
      </c>
      <c r="G1179" s="24" t="s">
        <v>309</v>
      </c>
      <c r="H1179" t="s">
        <v>292</v>
      </c>
      <c r="I1179" t="s">
        <v>40</v>
      </c>
      <c r="J1179" t="s">
        <v>66</v>
      </c>
      <c r="K1179" t="s">
        <v>75</v>
      </c>
    </row>
    <row r="1180" spans="1:11" x14ac:dyDescent="0.2">
      <c r="A1180">
        <v>7</v>
      </c>
      <c r="B1180" s="21">
        <v>46026</v>
      </c>
      <c r="C1180" t="s">
        <v>325</v>
      </c>
      <c r="D1180">
        <v>15</v>
      </c>
      <c r="E1180" t="s">
        <v>325</v>
      </c>
      <c r="F1180" s="21">
        <v>37350</v>
      </c>
      <c r="G1180" s="24" t="s">
        <v>309</v>
      </c>
      <c r="H1180" t="s">
        <v>293</v>
      </c>
      <c r="I1180" t="s">
        <v>261</v>
      </c>
      <c r="J1180" t="s">
        <v>66</v>
      </c>
      <c r="K1180" t="s">
        <v>70</v>
      </c>
    </row>
    <row r="1181" spans="1:11" x14ac:dyDescent="0.2">
      <c r="A1181">
        <v>7</v>
      </c>
      <c r="B1181" s="21">
        <v>46026</v>
      </c>
      <c r="C1181" t="s">
        <v>325</v>
      </c>
      <c r="D1181">
        <v>15</v>
      </c>
      <c r="E1181" t="s">
        <v>325</v>
      </c>
      <c r="F1181" s="21">
        <v>37350</v>
      </c>
      <c r="G1181" s="24" t="s">
        <v>309</v>
      </c>
      <c r="H1181" t="s">
        <v>292</v>
      </c>
      <c r="I1181" t="s">
        <v>30</v>
      </c>
      <c r="J1181" t="s">
        <v>64</v>
      </c>
      <c r="K1181" t="s">
        <v>73</v>
      </c>
    </row>
    <row r="1182" spans="1:11" x14ac:dyDescent="0.2">
      <c r="A1182">
        <v>7</v>
      </c>
      <c r="B1182" s="21">
        <v>46026</v>
      </c>
      <c r="C1182" t="s">
        <v>325</v>
      </c>
      <c r="D1182">
        <v>15</v>
      </c>
      <c r="E1182" t="s">
        <v>325</v>
      </c>
      <c r="F1182" s="21">
        <v>37350</v>
      </c>
      <c r="G1182" s="24" t="s">
        <v>309</v>
      </c>
      <c r="H1182" t="s">
        <v>282</v>
      </c>
      <c r="I1182" t="s">
        <v>30</v>
      </c>
      <c r="J1182" t="s">
        <v>64</v>
      </c>
      <c r="K1182" t="s">
        <v>73</v>
      </c>
    </row>
    <row r="1183" spans="1:11" x14ac:dyDescent="0.2">
      <c r="A1183">
        <v>7</v>
      </c>
      <c r="B1183" s="21">
        <v>46026</v>
      </c>
      <c r="C1183" t="s">
        <v>325</v>
      </c>
      <c r="D1183">
        <v>15</v>
      </c>
      <c r="E1183" t="s">
        <v>325</v>
      </c>
      <c r="F1183" s="21">
        <v>37350</v>
      </c>
      <c r="G1183" s="24" t="s">
        <v>309</v>
      </c>
      <c r="H1183" t="s">
        <v>294</v>
      </c>
      <c r="I1183" t="s">
        <v>199</v>
      </c>
      <c r="J1183" t="s">
        <v>71</v>
      </c>
      <c r="K1183" t="s">
        <v>74</v>
      </c>
    </row>
    <row r="1184" spans="1:11" x14ac:dyDescent="0.2">
      <c r="A1184">
        <v>7</v>
      </c>
      <c r="B1184" s="21">
        <v>46026</v>
      </c>
      <c r="C1184" t="s">
        <v>325</v>
      </c>
      <c r="D1184">
        <v>15</v>
      </c>
      <c r="E1184" t="s">
        <v>325</v>
      </c>
      <c r="F1184" s="21">
        <v>37350</v>
      </c>
      <c r="G1184" s="24" t="s">
        <v>309</v>
      </c>
      <c r="H1184" t="s">
        <v>287</v>
      </c>
      <c r="I1184" t="s">
        <v>6</v>
      </c>
      <c r="J1184" t="s">
        <v>64</v>
      </c>
      <c r="K1184" t="s">
        <v>73</v>
      </c>
    </row>
    <row r="1185" spans="1:11" x14ac:dyDescent="0.2">
      <c r="A1185">
        <v>7</v>
      </c>
      <c r="B1185" s="21">
        <v>46026</v>
      </c>
      <c r="C1185" t="s">
        <v>325</v>
      </c>
      <c r="D1185">
        <v>15</v>
      </c>
      <c r="E1185" t="s">
        <v>325</v>
      </c>
      <c r="F1185" s="21">
        <v>37350</v>
      </c>
      <c r="G1185" s="24" t="s">
        <v>309</v>
      </c>
      <c r="H1185" t="s">
        <v>283</v>
      </c>
      <c r="I1185" t="s">
        <v>30</v>
      </c>
      <c r="J1185" t="s">
        <v>64</v>
      </c>
      <c r="K1185" t="s">
        <v>78</v>
      </c>
    </row>
    <row r="1186" spans="1:11" x14ac:dyDescent="0.2">
      <c r="A1186">
        <v>7</v>
      </c>
      <c r="B1186" s="21">
        <v>46026</v>
      </c>
      <c r="C1186" t="s">
        <v>325</v>
      </c>
      <c r="D1186">
        <v>15</v>
      </c>
      <c r="E1186" t="s">
        <v>325</v>
      </c>
      <c r="F1186" s="21">
        <v>37350</v>
      </c>
      <c r="G1186" s="24" t="s">
        <v>309</v>
      </c>
      <c r="H1186" t="s">
        <v>290</v>
      </c>
      <c r="I1186" t="s">
        <v>30</v>
      </c>
      <c r="J1186" t="s">
        <v>64</v>
      </c>
      <c r="K1186" t="s">
        <v>78</v>
      </c>
    </row>
    <row r="1187" spans="1:11" x14ac:dyDescent="0.2">
      <c r="A1187">
        <v>7</v>
      </c>
      <c r="B1187" s="21">
        <v>46026</v>
      </c>
      <c r="C1187" t="s">
        <v>325</v>
      </c>
      <c r="D1187">
        <v>15</v>
      </c>
      <c r="E1187" t="s">
        <v>325</v>
      </c>
      <c r="F1187" s="21">
        <v>37350</v>
      </c>
      <c r="G1187" s="24" t="s">
        <v>309</v>
      </c>
      <c r="H1187" t="s">
        <v>282</v>
      </c>
      <c r="I1187" t="s">
        <v>32</v>
      </c>
      <c r="J1187" t="s">
        <v>64</v>
      </c>
      <c r="K1187" t="s">
        <v>74</v>
      </c>
    </row>
    <row r="1188" spans="1:11" x14ac:dyDescent="0.2">
      <c r="A1188">
        <v>7</v>
      </c>
      <c r="B1188" s="21">
        <v>46026</v>
      </c>
      <c r="C1188" t="s">
        <v>325</v>
      </c>
      <c r="D1188">
        <v>15</v>
      </c>
      <c r="E1188" t="s">
        <v>325</v>
      </c>
      <c r="F1188" s="21">
        <v>37350</v>
      </c>
      <c r="G1188" s="24" t="s">
        <v>309</v>
      </c>
      <c r="H1188" t="s">
        <v>292</v>
      </c>
      <c r="I1188" t="s">
        <v>200</v>
      </c>
      <c r="J1188" t="s">
        <v>71</v>
      </c>
      <c r="K1188" t="s">
        <v>75</v>
      </c>
    </row>
    <row r="1189" spans="1:11" x14ac:dyDescent="0.2">
      <c r="A1189">
        <v>7</v>
      </c>
      <c r="B1189" s="21">
        <v>46026</v>
      </c>
      <c r="C1189" t="s">
        <v>325</v>
      </c>
      <c r="D1189">
        <v>15</v>
      </c>
      <c r="E1189" t="s">
        <v>325</v>
      </c>
      <c r="F1189" s="21">
        <v>37350</v>
      </c>
      <c r="G1189" s="24" t="s">
        <v>309</v>
      </c>
      <c r="H1189" t="s">
        <v>294</v>
      </c>
      <c r="I1189" t="s">
        <v>311</v>
      </c>
      <c r="J1189" t="s">
        <v>64</v>
      </c>
      <c r="K1189" t="s">
        <v>73</v>
      </c>
    </row>
    <row r="1190" spans="1:11" x14ac:dyDescent="0.2">
      <c r="A1190">
        <v>7</v>
      </c>
      <c r="B1190" s="21">
        <v>46026</v>
      </c>
      <c r="C1190" t="s">
        <v>325</v>
      </c>
      <c r="D1190">
        <v>15</v>
      </c>
      <c r="E1190" t="s">
        <v>325</v>
      </c>
      <c r="F1190" s="21">
        <v>37350</v>
      </c>
      <c r="G1190" s="24" t="s">
        <v>309</v>
      </c>
      <c r="H1190" t="s">
        <v>292</v>
      </c>
      <c r="I1190" t="s">
        <v>199</v>
      </c>
      <c r="J1190" t="s">
        <v>71</v>
      </c>
      <c r="K1190" t="s">
        <v>75</v>
      </c>
    </row>
    <row r="1191" spans="1:11" x14ac:dyDescent="0.2">
      <c r="A1191">
        <v>7</v>
      </c>
      <c r="B1191" s="21">
        <v>46026</v>
      </c>
      <c r="C1191" t="s">
        <v>325</v>
      </c>
      <c r="D1191">
        <v>15</v>
      </c>
      <c r="E1191" t="s">
        <v>325</v>
      </c>
      <c r="F1191" s="21">
        <v>37350</v>
      </c>
      <c r="G1191" s="24" t="s">
        <v>309</v>
      </c>
      <c r="H1191" t="s">
        <v>292</v>
      </c>
      <c r="I1191" t="s">
        <v>40</v>
      </c>
      <c r="K1191" t="s">
        <v>79</v>
      </c>
    </row>
    <row r="1192" spans="1:11" x14ac:dyDescent="0.2">
      <c r="A1192">
        <v>7</v>
      </c>
      <c r="B1192" s="21">
        <v>46026</v>
      </c>
      <c r="C1192" t="s">
        <v>325</v>
      </c>
      <c r="D1192">
        <v>15</v>
      </c>
      <c r="E1192" t="s">
        <v>325</v>
      </c>
      <c r="F1192" s="21">
        <v>37350</v>
      </c>
      <c r="G1192" s="24" t="s">
        <v>309</v>
      </c>
      <c r="H1192" t="s">
        <v>287</v>
      </c>
      <c r="I1192" t="s">
        <v>14</v>
      </c>
      <c r="J1192" t="s">
        <v>80</v>
      </c>
      <c r="K1192" t="s">
        <v>75</v>
      </c>
    </row>
    <row r="1193" spans="1:11" x14ac:dyDescent="0.2">
      <c r="A1193">
        <v>7</v>
      </c>
      <c r="B1193" s="21">
        <v>46026</v>
      </c>
      <c r="C1193" t="s">
        <v>325</v>
      </c>
      <c r="D1193">
        <v>15</v>
      </c>
      <c r="E1193" t="s">
        <v>325</v>
      </c>
      <c r="F1193" s="21">
        <v>37350</v>
      </c>
      <c r="G1193" s="24" t="s">
        <v>309</v>
      </c>
      <c r="H1193" t="s">
        <v>290</v>
      </c>
      <c r="I1193" t="s">
        <v>30</v>
      </c>
      <c r="J1193" t="s">
        <v>66</v>
      </c>
      <c r="K1193" t="s">
        <v>65</v>
      </c>
    </row>
    <row r="1194" spans="1:11" x14ac:dyDescent="0.2">
      <c r="A1194">
        <v>7</v>
      </c>
      <c r="B1194" s="21">
        <v>46026</v>
      </c>
      <c r="C1194" t="s">
        <v>325</v>
      </c>
      <c r="D1194">
        <v>15</v>
      </c>
      <c r="E1194" t="s">
        <v>325</v>
      </c>
      <c r="F1194" s="21">
        <v>37350</v>
      </c>
      <c r="G1194" s="24" t="s">
        <v>309</v>
      </c>
      <c r="H1194" t="s">
        <v>295</v>
      </c>
      <c r="I1194" t="s">
        <v>30</v>
      </c>
      <c r="J1194" t="s">
        <v>66</v>
      </c>
      <c r="K1194" t="s">
        <v>65</v>
      </c>
    </row>
    <row r="1195" spans="1:11" x14ac:dyDescent="0.2">
      <c r="A1195">
        <v>7</v>
      </c>
      <c r="B1195" s="21">
        <v>46026</v>
      </c>
      <c r="C1195" t="s">
        <v>325</v>
      </c>
      <c r="D1195">
        <v>15</v>
      </c>
      <c r="E1195" t="s">
        <v>325</v>
      </c>
      <c r="F1195" s="21">
        <v>37350</v>
      </c>
      <c r="G1195" s="24" t="s">
        <v>309</v>
      </c>
      <c r="H1195" t="s">
        <v>306</v>
      </c>
      <c r="I1195" t="s">
        <v>200</v>
      </c>
      <c r="J1195" t="s">
        <v>71</v>
      </c>
      <c r="K1195" t="s">
        <v>75</v>
      </c>
    </row>
    <row r="1196" spans="1:11" x14ac:dyDescent="0.2">
      <c r="A1196">
        <v>7</v>
      </c>
      <c r="B1196" s="21">
        <v>46026</v>
      </c>
      <c r="C1196" t="s">
        <v>325</v>
      </c>
      <c r="D1196">
        <v>15</v>
      </c>
      <c r="E1196" t="s">
        <v>325</v>
      </c>
      <c r="F1196" s="21">
        <v>37350</v>
      </c>
      <c r="G1196" s="24" t="s">
        <v>309</v>
      </c>
      <c r="H1196" t="s">
        <v>292</v>
      </c>
      <c r="I1196" t="s">
        <v>311</v>
      </c>
      <c r="J1196" t="s">
        <v>71</v>
      </c>
      <c r="K1196" t="s">
        <v>75</v>
      </c>
    </row>
    <row r="1197" spans="1:11" x14ac:dyDescent="0.2">
      <c r="A1197">
        <v>7</v>
      </c>
      <c r="B1197" s="21">
        <v>46026</v>
      </c>
      <c r="C1197" t="s">
        <v>325</v>
      </c>
      <c r="D1197">
        <v>15</v>
      </c>
      <c r="E1197" t="s">
        <v>325</v>
      </c>
      <c r="F1197" s="21">
        <v>37350</v>
      </c>
      <c r="G1197" s="24" t="s">
        <v>309</v>
      </c>
      <c r="H1197" t="s">
        <v>282</v>
      </c>
      <c r="I1197" t="s">
        <v>30</v>
      </c>
      <c r="J1197" t="s">
        <v>71</v>
      </c>
      <c r="K1197" t="s">
        <v>74</v>
      </c>
    </row>
    <row r="1198" spans="1:11" x14ac:dyDescent="0.2">
      <c r="A1198">
        <v>7</v>
      </c>
      <c r="B1198" s="21">
        <v>46026</v>
      </c>
      <c r="C1198" t="s">
        <v>325</v>
      </c>
      <c r="D1198">
        <v>15</v>
      </c>
      <c r="E1198" t="s">
        <v>325</v>
      </c>
      <c r="F1198" s="21">
        <v>37350</v>
      </c>
      <c r="G1198" s="24" t="s">
        <v>309</v>
      </c>
      <c r="H1198" t="s">
        <v>292</v>
      </c>
      <c r="I1198" t="s">
        <v>200</v>
      </c>
      <c r="J1198" t="s">
        <v>71</v>
      </c>
      <c r="K1198" t="s">
        <v>74</v>
      </c>
    </row>
    <row r="1199" spans="1:11" x14ac:dyDescent="0.2">
      <c r="A1199">
        <v>7</v>
      </c>
      <c r="B1199" s="21">
        <v>46026</v>
      </c>
      <c r="C1199" t="s">
        <v>325</v>
      </c>
      <c r="D1199">
        <v>15</v>
      </c>
      <c r="E1199" t="s">
        <v>325</v>
      </c>
      <c r="F1199" s="21">
        <v>37350</v>
      </c>
      <c r="G1199" s="24" t="s">
        <v>309</v>
      </c>
      <c r="H1199" t="s">
        <v>282</v>
      </c>
      <c r="I1199" t="s">
        <v>311</v>
      </c>
      <c r="J1199" t="s">
        <v>71</v>
      </c>
      <c r="K1199" t="s">
        <v>74</v>
      </c>
    </row>
    <row r="1200" spans="1:11" x14ac:dyDescent="0.2">
      <c r="A1200">
        <v>7</v>
      </c>
      <c r="B1200" s="21">
        <v>46026</v>
      </c>
      <c r="C1200" t="s">
        <v>325</v>
      </c>
      <c r="D1200">
        <v>15</v>
      </c>
      <c r="E1200" t="s">
        <v>325</v>
      </c>
      <c r="F1200" s="21">
        <v>37350</v>
      </c>
      <c r="G1200" s="24" t="s">
        <v>309</v>
      </c>
      <c r="H1200" t="s">
        <v>282</v>
      </c>
      <c r="I1200" t="s">
        <v>205</v>
      </c>
      <c r="J1200" t="s">
        <v>71</v>
      </c>
      <c r="K1200" t="s">
        <v>74</v>
      </c>
    </row>
    <row r="1201" spans="1:11" x14ac:dyDescent="0.2">
      <c r="A1201">
        <v>7</v>
      </c>
      <c r="B1201" s="21">
        <v>46026</v>
      </c>
      <c r="C1201" t="s">
        <v>325</v>
      </c>
      <c r="D1201">
        <v>15</v>
      </c>
      <c r="E1201" t="s">
        <v>325</v>
      </c>
      <c r="F1201" s="21">
        <v>37350</v>
      </c>
      <c r="G1201" s="24" t="s">
        <v>312</v>
      </c>
      <c r="H1201" t="s">
        <v>283</v>
      </c>
      <c r="I1201" t="s">
        <v>200</v>
      </c>
      <c r="J1201" t="s">
        <v>71</v>
      </c>
      <c r="K1201" t="s">
        <v>74</v>
      </c>
    </row>
    <row r="1202" spans="1:11" x14ac:dyDescent="0.2">
      <c r="A1202">
        <v>7</v>
      </c>
      <c r="B1202" s="21">
        <v>46026</v>
      </c>
      <c r="C1202" t="s">
        <v>325</v>
      </c>
      <c r="D1202">
        <v>15</v>
      </c>
      <c r="E1202" t="s">
        <v>325</v>
      </c>
      <c r="F1202" s="21">
        <v>37350</v>
      </c>
      <c r="G1202" s="24" t="s">
        <v>312</v>
      </c>
      <c r="H1202" t="s">
        <v>293</v>
      </c>
      <c r="I1202" t="s">
        <v>311</v>
      </c>
      <c r="J1202" t="s">
        <v>71</v>
      </c>
      <c r="K1202" t="s">
        <v>74</v>
      </c>
    </row>
    <row r="1203" spans="1:11" x14ac:dyDescent="0.2">
      <c r="A1203">
        <v>7</v>
      </c>
      <c r="B1203" s="21">
        <v>46026</v>
      </c>
      <c r="C1203" t="s">
        <v>325</v>
      </c>
      <c r="D1203">
        <v>15</v>
      </c>
      <c r="E1203" t="s">
        <v>325</v>
      </c>
      <c r="F1203" s="21">
        <v>37350</v>
      </c>
      <c r="G1203" s="24" t="s">
        <v>312</v>
      </c>
      <c r="H1203" t="s">
        <v>306</v>
      </c>
      <c r="I1203" t="s">
        <v>199</v>
      </c>
      <c r="J1203" t="s">
        <v>71</v>
      </c>
      <c r="K1203" t="s">
        <v>78</v>
      </c>
    </row>
    <row r="1204" spans="1:11" x14ac:dyDescent="0.2">
      <c r="A1204">
        <v>7</v>
      </c>
      <c r="B1204" s="21">
        <v>46026</v>
      </c>
      <c r="C1204" t="s">
        <v>325</v>
      </c>
      <c r="D1204">
        <v>15</v>
      </c>
      <c r="E1204" t="s">
        <v>325</v>
      </c>
      <c r="F1204" s="21">
        <v>37350</v>
      </c>
      <c r="G1204" s="24" t="s">
        <v>312</v>
      </c>
      <c r="H1204" t="s">
        <v>292</v>
      </c>
      <c r="I1204" t="s">
        <v>311</v>
      </c>
      <c r="J1204" t="s">
        <v>66</v>
      </c>
      <c r="K1204" t="s">
        <v>78</v>
      </c>
    </row>
    <row r="1205" spans="1:11" x14ac:dyDescent="0.2">
      <c r="A1205">
        <v>7</v>
      </c>
      <c r="B1205" s="21">
        <v>46026</v>
      </c>
      <c r="C1205" t="s">
        <v>325</v>
      </c>
      <c r="D1205">
        <v>15</v>
      </c>
      <c r="E1205" t="s">
        <v>325</v>
      </c>
      <c r="F1205" s="21">
        <v>37350</v>
      </c>
      <c r="G1205" s="24" t="s">
        <v>312</v>
      </c>
      <c r="H1205" t="s">
        <v>293</v>
      </c>
      <c r="I1205" t="s">
        <v>200</v>
      </c>
      <c r="J1205" t="s">
        <v>68</v>
      </c>
      <c r="K1205" t="s">
        <v>74</v>
      </c>
    </row>
    <row r="1206" spans="1:11" x14ac:dyDescent="0.2">
      <c r="A1206">
        <v>7</v>
      </c>
      <c r="B1206" s="21">
        <v>46026</v>
      </c>
      <c r="C1206" t="s">
        <v>325</v>
      </c>
      <c r="D1206">
        <v>15</v>
      </c>
      <c r="E1206" t="s">
        <v>325</v>
      </c>
      <c r="F1206" s="21">
        <v>37350</v>
      </c>
      <c r="G1206" s="24" t="s">
        <v>312</v>
      </c>
      <c r="H1206" t="s">
        <v>294</v>
      </c>
      <c r="I1206" t="s">
        <v>311</v>
      </c>
      <c r="J1206" t="s">
        <v>68</v>
      </c>
      <c r="K1206" t="s">
        <v>74</v>
      </c>
    </row>
    <row r="1207" spans="1:11" x14ac:dyDescent="0.2">
      <c r="A1207">
        <v>7</v>
      </c>
      <c r="B1207" s="21">
        <v>46026</v>
      </c>
      <c r="C1207" t="s">
        <v>325</v>
      </c>
      <c r="D1207">
        <v>15</v>
      </c>
      <c r="E1207" t="s">
        <v>325</v>
      </c>
      <c r="F1207" s="21">
        <v>37350</v>
      </c>
      <c r="G1207" s="24" t="s">
        <v>312</v>
      </c>
      <c r="H1207" t="s">
        <v>283</v>
      </c>
      <c r="I1207" t="s">
        <v>30</v>
      </c>
      <c r="J1207" t="s">
        <v>71</v>
      </c>
      <c r="K1207" t="s">
        <v>74</v>
      </c>
    </row>
    <row r="1208" spans="1:11" x14ac:dyDescent="0.2">
      <c r="A1208">
        <v>7</v>
      </c>
      <c r="B1208" s="21">
        <v>46026</v>
      </c>
      <c r="C1208" t="s">
        <v>325</v>
      </c>
      <c r="D1208">
        <v>15</v>
      </c>
      <c r="E1208" t="s">
        <v>325</v>
      </c>
      <c r="F1208" s="21">
        <v>37350</v>
      </c>
      <c r="G1208" s="24" t="s">
        <v>312</v>
      </c>
      <c r="H1208" t="s">
        <v>294</v>
      </c>
      <c r="I1208" t="s">
        <v>30</v>
      </c>
      <c r="J1208" t="s">
        <v>66</v>
      </c>
      <c r="K1208" t="s">
        <v>74</v>
      </c>
    </row>
    <row r="1209" spans="1:11" x14ac:dyDescent="0.2">
      <c r="A1209">
        <v>7</v>
      </c>
      <c r="B1209" s="21">
        <v>46026</v>
      </c>
      <c r="C1209" t="s">
        <v>325</v>
      </c>
      <c r="D1209">
        <v>15</v>
      </c>
      <c r="E1209" t="s">
        <v>325</v>
      </c>
      <c r="F1209" s="21">
        <v>37350</v>
      </c>
      <c r="G1209" s="24" t="s">
        <v>312</v>
      </c>
      <c r="H1209" t="s">
        <v>293</v>
      </c>
      <c r="I1209" t="s">
        <v>205</v>
      </c>
      <c r="J1209" t="s">
        <v>66</v>
      </c>
      <c r="K1209" t="s">
        <v>74</v>
      </c>
    </row>
    <row r="1210" spans="1:11" x14ac:dyDescent="0.2">
      <c r="A1210">
        <v>7</v>
      </c>
      <c r="B1210" s="21">
        <v>46026</v>
      </c>
      <c r="C1210" t="s">
        <v>325</v>
      </c>
      <c r="D1210">
        <v>15</v>
      </c>
      <c r="E1210" t="s">
        <v>325</v>
      </c>
      <c r="F1210" s="21">
        <v>37350</v>
      </c>
      <c r="G1210" s="24" t="s">
        <v>312</v>
      </c>
      <c r="H1210" t="s">
        <v>306</v>
      </c>
      <c r="I1210" t="s">
        <v>199</v>
      </c>
      <c r="J1210" t="s">
        <v>68</v>
      </c>
      <c r="K1210" t="s">
        <v>78</v>
      </c>
    </row>
    <row r="1211" spans="1:11" x14ac:dyDescent="0.2">
      <c r="A1211">
        <v>7</v>
      </c>
      <c r="B1211" s="21">
        <v>46026</v>
      </c>
      <c r="C1211" t="s">
        <v>325</v>
      </c>
      <c r="D1211">
        <v>15</v>
      </c>
      <c r="E1211" t="s">
        <v>325</v>
      </c>
      <c r="F1211" s="21">
        <v>37350</v>
      </c>
      <c r="G1211" s="24" t="s">
        <v>312</v>
      </c>
      <c r="H1211" t="s">
        <v>287</v>
      </c>
      <c r="I1211" t="s">
        <v>311</v>
      </c>
      <c r="J1211" t="s">
        <v>66</v>
      </c>
      <c r="K1211" t="s">
        <v>78</v>
      </c>
    </row>
    <row r="1212" spans="1:11" x14ac:dyDescent="0.2">
      <c r="A1212">
        <v>7</v>
      </c>
      <c r="B1212" s="21">
        <v>46026</v>
      </c>
      <c r="C1212" t="s">
        <v>325</v>
      </c>
      <c r="D1212">
        <v>15</v>
      </c>
      <c r="E1212" t="s">
        <v>325</v>
      </c>
      <c r="F1212" s="21">
        <v>37350</v>
      </c>
      <c r="G1212" s="24" t="s">
        <v>312</v>
      </c>
      <c r="H1212" t="s">
        <v>287</v>
      </c>
      <c r="I1212" t="s">
        <v>38</v>
      </c>
      <c r="J1212" t="s">
        <v>66</v>
      </c>
      <c r="K1212" t="s">
        <v>78</v>
      </c>
    </row>
    <row r="1213" spans="1:11" x14ac:dyDescent="0.2">
      <c r="A1213">
        <v>7</v>
      </c>
      <c r="B1213" s="21">
        <v>46026</v>
      </c>
      <c r="C1213" t="s">
        <v>325</v>
      </c>
      <c r="D1213">
        <v>15</v>
      </c>
      <c r="E1213" t="s">
        <v>325</v>
      </c>
      <c r="F1213" s="21">
        <v>37350</v>
      </c>
      <c r="G1213" s="24" t="s">
        <v>312</v>
      </c>
      <c r="H1213" t="s">
        <v>295</v>
      </c>
      <c r="I1213" t="s">
        <v>200</v>
      </c>
      <c r="J1213" t="s">
        <v>71</v>
      </c>
      <c r="K1213" t="s">
        <v>72</v>
      </c>
    </row>
    <row r="1214" spans="1:11" x14ac:dyDescent="0.2">
      <c r="A1214">
        <v>7</v>
      </c>
      <c r="B1214" s="21">
        <v>46026</v>
      </c>
      <c r="C1214" t="s">
        <v>325</v>
      </c>
      <c r="D1214">
        <v>15</v>
      </c>
      <c r="E1214" t="s">
        <v>325</v>
      </c>
      <c r="F1214" s="21">
        <v>37350</v>
      </c>
      <c r="G1214" s="24" t="s">
        <v>312</v>
      </c>
      <c r="H1214" t="s">
        <v>306</v>
      </c>
      <c r="I1214" t="s">
        <v>311</v>
      </c>
      <c r="J1214" t="s">
        <v>66</v>
      </c>
      <c r="K1214" t="s">
        <v>79</v>
      </c>
    </row>
    <row r="1215" spans="1:11" x14ac:dyDescent="0.2">
      <c r="A1215">
        <v>7</v>
      </c>
      <c r="B1215" s="21">
        <v>46026</v>
      </c>
      <c r="C1215" t="s">
        <v>325</v>
      </c>
      <c r="D1215">
        <v>15</v>
      </c>
      <c r="E1215" t="s">
        <v>325</v>
      </c>
      <c r="F1215" s="21">
        <v>37350</v>
      </c>
      <c r="G1215" s="24" t="s">
        <v>312</v>
      </c>
      <c r="H1215" t="s">
        <v>293</v>
      </c>
      <c r="I1215" t="s">
        <v>6</v>
      </c>
      <c r="J1215" t="s">
        <v>66</v>
      </c>
      <c r="K1215" t="s">
        <v>74</v>
      </c>
    </row>
    <row r="1216" spans="1:11" x14ac:dyDescent="0.2">
      <c r="A1216">
        <v>7</v>
      </c>
      <c r="B1216" s="21">
        <v>46026</v>
      </c>
      <c r="C1216" t="s">
        <v>325</v>
      </c>
      <c r="D1216">
        <v>15</v>
      </c>
      <c r="E1216" t="s">
        <v>325</v>
      </c>
      <c r="F1216" s="21">
        <v>37350</v>
      </c>
      <c r="G1216" s="24" t="s">
        <v>312</v>
      </c>
      <c r="H1216" t="s">
        <v>283</v>
      </c>
      <c r="I1216" t="s">
        <v>6</v>
      </c>
      <c r="J1216" t="s">
        <v>66</v>
      </c>
      <c r="K1216" t="s">
        <v>74</v>
      </c>
    </row>
    <row r="1217" spans="1:11" x14ac:dyDescent="0.2">
      <c r="A1217">
        <v>7</v>
      </c>
      <c r="B1217" s="21">
        <v>46026</v>
      </c>
      <c r="C1217" t="s">
        <v>325</v>
      </c>
      <c r="D1217">
        <v>15</v>
      </c>
      <c r="E1217" t="s">
        <v>325</v>
      </c>
      <c r="F1217" s="21">
        <v>37350</v>
      </c>
      <c r="G1217" s="24" t="s">
        <v>312</v>
      </c>
      <c r="H1217" t="s">
        <v>283</v>
      </c>
      <c r="I1217" t="s">
        <v>30</v>
      </c>
      <c r="J1217" t="s">
        <v>71</v>
      </c>
      <c r="K1217" t="s">
        <v>74</v>
      </c>
    </row>
    <row r="1218" spans="1:11" x14ac:dyDescent="0.2">
      <c r="A1218">
        <v>7</v>
      </c>
      <c r="B1218" s="21">
        <v>46026</v>
      </c>
      <c r="C1218" t="s">
        <v>325</v>
      </c>
      <c r="D1218">
        <v>15</v>
      </c>
      <c r="E1218" t="s">
        <v>325</v>
      </c>
      <c r="F1218" s="21">
        <v>37350</v>
      </c>
      <c r="G1218" s="24" t="s">
        <v>312</v>
      </c>
      <c r="H1218" t="s">
        <v>294</v>
      </c>
      <c r="I1218" t="s">
        <v>200</v>
      </c>
      <c r="J1218" t="s">
        <v>71</v>
      </c>
      <c r="K1218" t="s">
        <v>75</v>
      </c>
    </row>
    <row r="1219" spans="1:11" x14ac:dyDescent="0.2">
      <c r="A1219">
        <v>7</v>
      </c>
      <c r="B1219" s="21">
        <v>46026</v>
      </c>
      <c r="C1219" t="s">
        <v>325</v>
      </c>
      <c r="D1219">
        <v>15</v>
      </c>
      <c r="E1219" t="s">
        <v>325</v>
      </c>
      <c r="F1219" s="21">
        <v>37350</v>
      </c>
      <c r="G1219" s="24" t="s">
        <v>312</v>
      </c>
      <c r="H1219" t="s">
        <v>306</v>
      </c>
      <c r="I1219" t="s">
        <v>200</v>
      </c>
      <c r="J1219" t="s">
        <v>71</v>
      </c>
      <c r="K1219" t="s">
        <v>75</v>
      </c>
    </row>
    <row r="1220" spans="1:11" x14ac:dyDescent="0.2">
      <c r="A1220">
        <v>7</v>
      </c>
      <c r="B1220" s="21">
        <v>46026</v>
      </c>
      <c r="C1220" t="s">
        <v>325</v>
      </c>
      <c r="D1220">
        <v>15</v>
      </c>
      <c r="E1220" t="s">
        <v>325</v>
      </c>
      <c r="F1220" s="21">
        <v>37350</v>
      </c>
      <c r="G1220" s="24" t="s">
        <v>312</v>
      </c>
      <c r="H1220" t="s">
        <v>294</v>
      </c>
      <c r="I1220" t="s">
        <v>6</v>
      </c>
      <c r="J1220" t="s">
        <v>71</v>
      </c>
      <c r="K1220" t="s">
        <v>75</v>
      </c>
    </row>
    <row r="1221" spans="1:11" x14ac:dyDescent="0.2">
      <c r="A1221">
        <v>7</v>
      </c>
      <c r="B1221" s="21">
        <v>46026</v>
      </c>
      <c r="C1221" t="s">
        <v>325</v>
      </c>
      <c r="D1221">
        <v>15</v>
      </c>
      <c r="E1221" t="s">
        <v>325</v>
      </c>
      <c r="F1221" s="21">
        <v>37350</v>
      </c>
      <c r="G1221" s="24" t="s">
        <v>312</v>
      </c>
      <c r="H1221" t="s">
        <v>292</v>
      </c>
      <c r="I1221" t="s">
        <v>311</v>
      </c>
      <c r="J1221" t="s">
        <v>71</v>
      </c>
      <c r="K1221" t="s">
        <v>75</v>
      </c>
    </row>
    <row r="1222" spans="1:11" x14ac:dyDescent="0.2">
      <c r="A1222">
        <v>7</v>
      </c>
      <c r="B1222" s="21">
        <v>46026</v>
      </c>
      <c r="C1222" t="s">
        <v>325</v>
      </c>
      <c r="D1222">
        <v>15</v>
      </c>
      <c r="E1222" t="s">
        <v>325</v>
      </c>
      <c r="F1222" s="21">
        <v>37350</v>
      </c>
      <c r="G1222" s="24" t="s">
        <v>312</v>
      </c>
      <c r="H1222" t="s">
        <v>282</v>
      </c>
      <c r="I1222" t="s">
        <v>38</v>
      </c>
      <c r="J1222" t="s">
        <v>66</v>
      </c>
      <c r="K1222" t="s">
        <v>72</v>
      </c>
    </row>
    <row r="1223" spans="1:11" x14ac:dyDescent="0.2">
      <c r="A1223">
        <v>7</v>
      </c>
      <c r="B1223" s="21">
        <v>46026</v>
      </c>
      <c r="C1223" t="s">
        <v>325</v>
      </c>
      <c r="D1223">
        <v>15</v>
      </c>
      <c r="E1223" t="s">
        <v>325</v>
      </c>
      <c r="F1223" s="21">
        <v>37350</v>
      </c>
      <c r="G1223" s="24" t="s">
        <v>312</v>
      </c>
      <c r="H1223" t="s">
        <v>305</v>
      </c>
      <c r="I1223" t="s">
        <v>200</v>
      </c>
      <c r="J1223" t="s">
        <v>71</v>
      </c>
      <c r="K1223" t="s">
        <v>72</v>
      </c>
    </row>
    <row r="1224" spans="1:11" x14ac:dyDescent="0.2">
      <c r="A1224">
        <v>7</v>
      </c>
      <c r="B1224" s="21">
        <v>46026</v>
      </c>
      <c r="C1224" t="s">
        <v>325</v>
      </c>
      <c r="D1224">
        <v>15</v>
      </c>
      <c r="E1224" t="s">
        <v>325</v>
      </c>
      <c r="F1224" s="21">
        <v>37350</v>
      </c>
      <c r="G1224" s="24" t="s">
        <v>312</v>
      </c>
      <c r="H1224" t="s">
        <v>292</v>
      </c>
      <c r="I1224" t="s">
        <v>200</v>
      </c>
      <c r="J1224" t="s">
        <v>71</v>
      </c>
      <c r="K1224" t="s">
        <v>65</v>
      </c>
    </row>
    <row r="1225" spans="1:11" x14ac:dyDescent="0.2">
      <c r="A1225">
        <v>7</v>
      </c>
      <c r="B1225" s="21">
        <v>46026</v>
      </c>
      <c r="C1225" t="s">
        <v>325</v>
      </c>
      <c r="D1225">
        <v>15</v>
      </c>
      <c r="E1225" t="s">
        <v>325</v>
      </c>
      <c r="F1225" s="21">
        <v>37350</v>
      </c>
      <c r="G1225" s="24" t="s">
        <v>312</v>
      </c>
      <c r="H1225" t="s">
        <v>283</v>
      </c>
      <c r="I1225" t="s">
        <v>36</v>
      </c>
      <c r="J1225" t="s">
        <v>66</v>
      </c>
      <c r="K1225" t="s">
        <v>67</v>
      </c>
    </row>
    <row r="1226" spans="1:11" x14ac:dyDescent="0.2">
      <c r="A1226">
        <v>7</v>
      </c>
      <c r="B1226" s="21">
        <v>46026</v>
      </c>
      <c r="C1226" t="s">
        <v>325</v>
      </c>
      <c r="D1226">
        <v>15</v>
      </c>
      <c r="E1226" t="s">
        <v>325</v>
      </c>
      <c r="F1226" s="21">
        <v>37350</v>
      </c>
      <c r="G1226" s="24" t="s">
        <v>312</v>
      </c>
      <c r="H1226" t="s">
        <v>305</v>
      </c>
      <c r="I1226" t="s">
        <v>261</v>
      </c>
      <c r="J1226" t="s">
        <v>66</v>
      </c>
      <c r="K1226" t="s">
        <v>79</v>
      </c>
    </row>
    <row r="1227" spans="1:11" x14ac:dyDescent="0.2">
      <c r="A1227">
        <v>7</v>
      </c>
      <c r="B1227" s="21">
        <v>46026</v>
      </c>
      <c r="C1227" t="s">
        <v>325</v>
      </c>
      <c r="D1227">
        <v>15</v>
      </c>
      <c r="E1227" t="s">
        <v>325</v>
      </c>
      <c r="F1227" s="21">
        <v>37350</v>
      </c>
      <c r="G1227" s="24" t="s">
        <v>312</v>
      </c>
      <c r="H1227" t="s">
        <v>287</v>
      </c>
      <c r="I1227" t="s">
        <v>14</v>
      </c>
      <c r="J1227" t="s">
        <v>80</v>
      </c>
      <c r="K1227" t="s">
        <v>69</v>
      </c>
    </row>
    <row r="1228" spans="1:11" x14ac:dyDescent="0.2">
      <c r="A1228">
        <v>7</v>
      </c>
      <c r="B1228" s="21">
        <v>46026</v>
      </c>
      <c r="C1228" t="s">
        <v>325</v>
      </c>
      <c r="D1228">
        <v>15</v>
      </c>
      <c r="E1228" t="s">
        <v>325</v>
      </c>
      <c r="F1228" s="21">
        <v>37350</v>
      </c>
      <c r="G1228" s="24" t="s">
        <v>312</v>
      </c>
      <c r="H1228" t="s">
        <v>306</v>
      </c>
      <c r="I1228" t="s">
        <v>14</v>
      </c>
      <c r="J1228" t="s">
        <v>80</v>
      </c>
      <c r="K1228" t="s">
        <v>69</v>
      </c>
    </row>
    <row r="1229" spans="1:11" x14ac:dyDescent="0.2">
      <c r="A1229">
        <v>7</v>
      </c>
      <c r="B1229" s="21">
        <v>46026</v>
      </c>
      <c r="C1229" t="s">
        <v>325</v>
      </c>
      <c r="D1229">
        <v>15</v>
      </c>
      <c r="E1229" t="s">
        <v>325</v>
      </c>
      <c r="F1229" s="21">
        <v>37350</v>
      </c>
      <c r="G1229" s="24" t="s">
        <v>312</v>
      </c>
      <c r="H1229" t="s">
        <v>282</v>
      </c>
      <c r="I1229" t="s">
        <v>30</v>
      </c>
      <c r="J1229" t="s">
        <v>66</v>
      </c>
      <c r="K1229" t="s">
        <v>72</v>
      </c>
    </row>
    <row r="1230" spans="1:11" x14ac:dyDescent="0.2">
      <c r="A1230">
        <v>7</v>
      </c>
      <c r="B1230" s="21">
        <v>46026</v>
      </c>
      <c r="C1230" t="s">
        <v>325</v>
      </c>
      <c r="D1230">
        <v>15</v>
      </c>
      <c r="E1230" t="s">
        <v>325</v>
      </c>
      <c r="F1230" s="21">
        <v>37350</v>
      </c>
      <c r="G1230" s="24" t="s">
        <v>312</v>
      </c>
      <c r="H1230" t="s">
        <v>292</v>
      </c>
      <c r="I1230" t="s">
        <v>205</v>
      </c>
      <c r="J1230" t="s">
        <v>66</v>
      </c>
      <c r="K1230" t="s">
        <v>74</v>
      </c>
    </row>
    <row r="1231" spans="1:11" x14ac:dyDescent="0.2">
      <c r="A1231">
        <v>7</v>
      </c>
      <c r="B1231" s="21">
        <v>46026</v>
      </c>
      <c r="C1231" t="s">
        <v>325</v>
      </c>
      <c r="D1231">
        <v>15</v>
      </c>
      <c r="E1231" t="s">
        <v>325</v>
      </c>
      <c r="F1231" s="21">
        <v>37350</v>
      </c>
      <c r="G1231" s="24" t="s">
        <v>312</v>
      </c>
      <c r="H1231" t="s">
        <v>292</v>
      </c>
      <c r="I1231" t="s">
        <v>6</v>
      </c>
      <c r="J1231" t="s">
        <v>64</v>
      </c>
      <c r="K1231" t="s">
        <v>75</v>
      </c>
    </row>
    <row r="1232" spans="1:11" x14ac:dyDescent="0.2">
      <c r="A1232">
        <v>7</v>
      </c>
      <c r="B1232" s="21">
        <v>46026</v>
      </c>
      <c r="C1232" t="s">
        <v>325</v>
      </c>
      <c r="D1232">
        <v>15</v>
      </c>
      <c r="E1232" t="s">
        <v>325</v>
      </c>
      <c r="F1232" s="21">
        <v>37350</v>
      </c>
      <c r="G1232" s="24" t="s">
        <v>312</v>
      </c>
      <c r="H1232" t="s">
        <v>293</v>
      </c>
      <c r="I1232" t="s">
        <v>36</v>
      </c>
      <c r="J1232" t="s">
        <v>64</v>
      </c>
      <c r="K1232" t="s">
        <v>75</v>
      </c>
    </row>
    <row r="1233" spans="1:11" x14ac:dyDescent="0.2">
      <c r="A1233">
        <v>7</v>
      </c>
      <c r="B1233" s="21">
        <v>46026</v>
      </c>
      <c r="C1233" t="s">
        <v>325</v>
      </c>
      <c r="D1233">
        <v>15</v>
      </c>
      <c r="E1233" t="s">
        <v>325</v>
      </c>
      <c r="F1233" s="21">
        <v>37350</v>
      </c>
      <c r="G1233" s="24" t="s">
        <v>312</v>
      </c>
      <c r="H1233" t="s">
        <v>290</v>
      </c>
      <c r="I1233" t="s">
        <v>6</v>
      </c>
      <c r="J1233" t="s">
        <v>66</v>
      </c>
      <c r="K1233" t="s">
        <v>74</v>
      </c>
    </row>
    <row r="1234" spans="1:11" x14ac:dyDescent="0.2">
      <c r="A1234">
        <v>7</v>
      </c>
      <c r="B1234" s="21">
        <v>46026</v>
      </c>
      <c r="C1234" t="s">
        <v>325</v>
      </c>
      <c r="D1234">
        <v>15</v>
      </c>
      <c r="E1234" t="s">
        <v>325</v>
      </c>
      <c r="F1234" s="21">
        <v>37350</v>
      </c>
      <c r="G1234" s="24" t="s">
        <v>312</v>
      </c>
      <c r="H1234" t="s">
        <v>290</v>
      </c>
      <c r="I1234" t="s">
        <v>30</v>
      </c>
      <c r="J1234" t="s">
        <v>71</v>
      </c>
      <c r="K1234" t="s">
        <v>74</v>
      </c>
    </row>
    <row r="1235" spans="1:11" x14ac:dyDescent="0.2">
      <c r="A1235">
        <v>7</v>
      </c>
      <c r="B1235" s="21">
        <v>46026</v>
      </c>
      <c r="C1235" t="s">
        <v>325</v>
      </c>
      <c r="D1235">
        <v>15</v>
      </c>
      <c r="E1235" t="s">
        <v>325</v>
      </c>
      <c r="F1235" s="21">
        <v>37350</v>
      </c>
      <c r="G1235" s="24" t="s">
        <v>312</v>
      </c>
      <c r="H1235" t="s">
        <v>293</v>
      </c>
      <c r="I1235" t="s">
        <v>6</v>
      </c>
      <c r="J1235" t="s">
        <v>66</v>
      </c>
      <c r="K1235" t="s">
        <v>74</v>
      </c>
    </row>
    <row r="1236" spans="1:11" x14ac:dyDescent="0.2">
      <c r="A1236">
        <v>7</v>
      </c>
      <c r="B1236" s="21">
        <v>46026</v>
      </c>
      <c r="C1236" t="s">
        <v>325</v>
      </c>
      <c r="D1236">
        <v>15</v>
      </c>
      <c r="E1236" t="s">
        <v>325</v>
      </c>
      <c r="F1236" s="21">
        <v>37350</v>
      </c>
      <c r="G1236" s="24" t="s">
        <v>312</v>
      </c>
      <c r="H1236" t="s">
        <v>283</v>
      </c>
      <c r="I1236" t="s">
        <v>6</v>
      </c>
      <c r="J1236" t="s">
        <v>66</v>
      </c>
      <c r="K1236" t="s">
        <v>74</v>
      </c>
    </row>
    <row r="1237" spans="1:11" x14ac:dyDescent="0.2">
      <c r="A1237">
        <v>7</v>
      </c>
      <c r="B1237" s="21">
        <v>46026</v>
      </c>
      <c r="C1237" t="s">
        <v>325</v>
      </c>
      <c r="D1237">
        <v>15</v>
      </c>
      <c r="E1237" t="s">
        <v>325</v>
      </c>
      <c r="F1237" s="21">
        <v>37350</v>
      </c>
      <c r="G1237" s="24" t="s">
        <v>312</v>
      </c>
      <c r="H1237" t="s">
        <v>290</v>
      </c>
      <c r="I1237" t="s">
        <v>6</v>
      </c>
      <c r="J1237" t="s">
        <v>66</v>
      </c>
      <c r="K1237" t="s">
        <v>74</v>
      </c>
    </row>
    <row r="1238" spans="1:11" x14ac:dyDescent="0.2">
      <c r="A1238">
        <v>7</v>
      </c>
      <c r="B1238" s="21">
        <v>46026</v>
      </c>
      <c r="C1238" t="s">
        <v>325</v>
      </c>
      <c r="D1238">
        <v>15</v>
      </c>
      <c r="E1238" t="s">
        <v>325</v>
      </c>
      <c r="F1238" s="21">
        <v>37350</v>
      </c>
      <c r="G1238" s="24" t="s">
        <v>312</v>
      </c>
      <c r="H1238" t="s">
        <v>295</v>
      </c>
      <c r="I1238" t="s">
        <v>6</v>
      </c>
      <c r="J1238" t="s">
        <v>66</v>
      </c>
      <c r="K1238" t="s">
        <v>74</v>
      </c>
    </row>
    <row r="1239" spans="1:11" x14ac:dyDescent="0.2">
      <c r="A1239">
        <v>7</v>
      </c>
      <c r="B1239" s="21">
        <v>46026</v>
      </c>
      <c r="C1239" t="s">
        <v>325</v>
      </c>
      <c r="D1239">
        <v>15</v>
      </c>
      <c r="E1239" t="s">
        <v>325</v>
      </c>
      <c r="F1239" s="21">
        <v>37350</v>
      </c>
      <c r="G1239" s="24" t="s">
        <v>312</v>
      </c>
      <c r="H1239" t="s">
        <v>305</v>
      </c>
      <c r="I1239" t="s">
        <v>14</v>
      </c>
      <c r="J1239" t="s">
        <v>80</v>
      </c>
      <c r="K1239" t="s">
        <v>69</v>
      </c>
    </row>
    <row r="1240" spans="1:11" x14ac:dyDescent="0.2">
      <c r="A1240">
        <v>7</v>
      </c>
      <c r="B1240" s="21">
        <v>46026</v>
      </c>
      <c r="C1240" t="s">
        <v>325</v>
      </c>
      <c r="D1240">
        <v>15</v>
      </c>
      <c r="E1240" t="s">
        <v>325</v>
      </c>
      <c r="F1240" s="21">
        <v>37350</v>
      </c>
      <c r="G1240" s="24" t="s">
        <v>312</v>
      </c>
      <c r="H1240" t="s">
        <v>305</v>
      </c>
      <c r="I1240" t="s">
        <v>311</v>
      </c>
      <c r="J1240" t="s">
        <v>71</v>
      </c>
      <c r="K1240" t="s">
        <v>69</v>
      </c>
    </row>
    <row r="1241" spans="1:11" x14ac:dyDescent="0.2">
      <c r="A1241">
        <v>7</v>
      </c>
      <c r="B1241" s="21">
        <v>46026</v>
      </c>
      <c r="C1241" t="s">
        <v>325</v>
      </c>
      <c r="D1241">
        <v>15</v>
      </c>
      <c r="E1241" t="s">
        <v>325</v>
      </c>
      <c r="F1241" s="21">
        <v>37350</v>
      </c>
      <c r="G1241" s="24" t="s">
        <v>312</v>
      </c>
      <c r="H1241" t="s">
        <v>293</v>
      </c>
      <c r="I1241" t="s">
        <v>261</v>
      </c>
      <c r="J1241" t="s">
        <v>66</v>
      </c>
      <c r="K1241" t="s">
        <v>79</v>
      </c>
    </row>
    <row r="1242" spans="1:11" x14ac:dyDescent="0.2">
      <c r="A1242">
        <v>7</v>
      </c>
      <c r="B1242" s="21">
        <v>46026</v>
      </c>
      <c r="C1242" t="s">
        <v>325</v>
      </c>
      <c r="D1242">
        <v>15</v>
      </c>
      <c r="E1242" t="s">
        <v>325</v>
      </c>
      <c r="F1242" s="21">
        <v>37350</v>
      </c>
      <c r="G1242" s="24" t="s">
        <v>312</v>
      </c>
      <c r="H1242" t="s">
        <v>293</v>
      </c>
      <c r="I1242" t="s">
        <v>23</v>
      </c>
      <c r="J1242" t="s">
        <v>66</v>
      </c>
      <c r="K1242" t="s">
        <v>79</v>
      </c>
    </row>
    <row r="1243" spans="1:11" x14ac:dyDescent="0.2">
      <c r="A1243">
        <v>7</v>
      </c>
      <c r="B1243" s="21">
        <v>46026</v>
      </c>
      <c r="C1243" t="s">
        <v>325</v>
      </c>
      <c r="D1243">
        <v>15</v>
      </c>
      <c r="E1243" t="s">
        <v>325</v>
      </c>
      <c r="F1243" s="21">
        <v>37350</v>
      </c>
      <c r="G1243" s="24" t="s">
        <v>312</v>
      </c>
      <c r="H1243" t="s">
        <v>293</v>
      </c>
      <c r="I1243" t="s">
        <v>12</v>
      </c>
      <c r="J1243" t="s">
        <v>71</v>
      </c>
      <c r="K1243" t="s">
        <v>75</v>
      </c>
    </row>
    <row r="1244" spans="1:11" x14ac:dyDescent="0.2">
      <c r="A1244">
        <v>7</v>
      </c>
      <c r="B1244" s="21">
        <v>46026</v>
      </c>
      <c r="C1244" t="s">
        <v>325</v>
      </c>
      <c r="D1244">
        <v>15</v>
      </c>
      <c r="E1244" t="s">
        <v>325</v>
      </c>
      <c r="F1244" s="21">
        <v>37350</v>
      </c>
      <c r="G1244" s="24" t="s">
        <v>312</v>
      </c>
      <c r="H1244" t="s">
        <v>293</v>
      </c>
      <c r="I1244" t="s">
        <v>14</v>
      </c>
      <c r="J1244" t="s">
        <v>66</v>
      </c>
      <c r="K1244" t="s">
        <v>78</v>
      </c>
    </row>
    <row r="1245" spans="1:11" x14ac:dyDescent="0.2">
      <c r="A1245">
        <v>7</v>
      </c>
      <c r="B1245" s="21">
        <v>46026</v>
      </c>
      <c r="C1245" t="s">
        <v>325</v>
      </c>
      <c r="D1245">
        <v>15</v>
      </c>
      <c r="E1245" t="s">
        <v>325</v>
      </c>
      <c r="F1245" s="21">
        <v>37350</v>
      </c>
      <c r="G1245" s="24" t="s">
        <v>313</v>
      </c>
      <c r="H1245" t="s">
        <v>292</v>
      </c>
      <c r="I1245" t="s">
        <v>32</v>
      </c>
      <c r="J1245" t="s">
        <v>64</v>
      </c>
      <c r="K1245" t="s">
        <v>73</v>
      </c>
    </row>
    <row r="1246" spans="1:11" x14ac:dyDescent="0.2">
      <c r="A1246">
        <v>7</v>
      </c>
      <c r="B1246" s="21">
        <v>46026</v>
      </c>
      <c r="C1246" t="s">
        <v>325</v>
      </c>
      <c r="D1246">
        <v>15</v>
      </c>
      <c r="E1246" t="s">
        <v>325</v>
      </c>
      <c r="F1246" s="21">
        <v>37350</v>
      </c>
      <c r="G1246" s="24" t="s">
        <v>313</v>
      </c>
      <c r="H1246" t="s">
        <v>294</v>
      </c>
      <c r="I1246" t="s">
        <v>30</v>
      </c>
      <c r="J1246" t="s">
        <v>71</v>
      </c>
      <c r="K1246" t="s">
        <v>74</v>
      </c>
    </row>
    <row r="1247" spans="1:11" x14ac:dyDescent="0.2">
      <c r="A1247">
        <v>7</v>
      </c>
      <c r="B1247" s="21">
        <v>46026</v>
      </c>
      <c r="C1247" t="s">
        <v>325</v>
      </c>
      <c r="D1247">
        <v>15</v>
      </c>
      <c r="E1247" t="s">
        <v>325</v>
      </c>
      <c r="F1247" s="21">
        <v>37350</v>
      </c>
      <c r="G1247" s="24" t="s">
        <v>313</v>
      </c>
      <c r="H1247" t="s">
        <v>294</v>
      </c>
      <c r="I1247" t="s">
        <v>205</v>
      </c>
      <c r="J1247" t="s">
        <v>66</v>
      </c>
      <c r="K1247" t="s">
        <v>74</v>
      </c>
    </row>
    <row r="1248" spans="1:11" x14ac:dyDescent="0.2">
      <c r="A1248">
        <v>7</v>
      </c>
      <c r="B1248" s="21">
        <v>46026</v>
      </c>
      <c r="C1248" t="s">
        <v>325</v>
      </c>
      <c r="D1248">
        <v>15</v>
      </c>
      <c r="E1248" t="s">
        <v>325</v>
      </c>
      <c r="F1248" s="21">
        <v>37350</v>
      </c>
      <c r="G1248" s="24" t="s">
        <v>313</v>
      </c>
      <c r="H1248" t="s">
        <v>293</v>
      </c>
      <c r="I1248" t="s">
        <v>200</v>
      </c>
      <c r="J1248" t="s">
        <v>71</v>
      </c>
      <c r="K1248" t="s">
        <v>74</v>
      </c>
    </row>
    <row r="1249" spans="1:11" x14ac:dyDescent="0.2">
      <c r="A1249">
        <v>7</v>
      </c>
      <c r="B1249" s="21">
        <v>46026</v>
      </c>
      <c r="C1249" t="s">
        <v>325</v>
      </c>
      <c r="D1249">
        <v>15</v>
      </c>
      <c r="E1249" t="s">
        <v>325</v>
      </c>
      <c r="F1249" s="21">
        <v>37350</v>
      </c>
      <c r="G1249" s="24" t="s">
        <v>313</v>
      </c>
      <c r="H1249" t="s">
        <v>290</v>
      </c>
      <c r="I1249" t="s">
        <v>30</v>
      </c>
      <c r="J1249" t="s">
        <v>71</v>
      </c>
      <c r="K1249" t="s">
        <v>74</v>
      </c>
    </row>
    <row r="1250" spans="1:11" x14ac:dyDescent="0.2">
      <c r="A1250">
        <v>7</v>
      </c>
      <c r="B1250" s="21">
        <v>46026</v>
      </c>
      <c r="C1250" t="s">
        <v>325</v>
      </c>
      <c r="D1250">
        <v>15</v>
      </c>
      <c r="E1250" t="s">
        <v>325</v>
      </c>
      <c r="F1250" s="21">
        <v>37350</v>
      </c>
      <c r="G1250" s="24" t="s">
        <v>313</v>
      </c>
      <c r="H1250" t="s">
        <v>292</v>
      </c>
      <c r="I1250" t="s">
        <v>311</v>
      </c>
      <c r="J1250" t="s">
        <v>64</v>
      </c>
      <c r="K1250" t="s">
        <v>74</v>
      </c>
    </row>
    <row r="1251" spans="1:11" x14ac:dyDescent="0.2">
      <c r="A1251">
        <v>7</v>
      </c>
      <c r="B1251" s="21">
        <v>46026</v>
      </c>
      <c r="C1251" t="s">
        <v>325</v>
      </c>
      <c r="D1251">
        <v>15</v>
      </c>
      <c r="E1251" t="s">
        <v>325</v>
      </c>
      <c r="F1251" s="21">
        <v>37350</v>
      </c>
      <c r="G1251" s="24" t="s">
        <v>313</v>
      </c>
      <c r="H1251" t="s">
        <v>282</v>
      </c>
      <c r="I1251" t="s">
        <v>30</v>
      </c>
      <c r="J1251" t="s">
        <v>71</v>
      </c>
      <c r="K1251" t="s">
        <v>74</v>
      </c>
    </row>
    <row r="1252" spans="1:11" x14ac:dyDescent="0.2">
      <c r="A1252">
        <v>7</v>
      </c>
      <c r="B1252" s="21">
        <v>46026</v>
      </c>
      <c r="C1252" t="s">
        <v>325</v>
      </c>
      <c r="D1252">
        <v>15</v>
      </c>
      <c r="E1252" t="s">
        <v>325</v>
      </c>
      <c r="F1252" s="21">
        <v>37350</v>
      </c>
      <c r="G1252" s="24" t="s">
        <v>313</v>
      </c>
      <c r="H1252" t="s">
        <v>295</v>
      </c>
      <c r="I1252" t="s">
        <v>200</v>
      </c>
      <c r="J1252" t="s">
        <v>71</v>
      </c>
      <c r="K1252" t="s">
        <v>74</v>
      </c>
    </row>
    <row r="1253" spans="1:11" x14ac:dyDescent="0.2">
      <c r="A1253">
        <v>7</v>
      </c>
      <c r="B1253" s="21">
        <v>46026</v>
      </c>
      <c r="C1253" t="s">
        <v>325</v>
      </c>
      <c r="D1253">
        <v>15</v>
      </c>
      <c r="E1253" t="s">
        <v>325</v>
      </c>
      <c r="F1253" s="21">
        <v>37350</v>
      </c>
      <c r="G1253" s="24" t="s">
        <v>313</v>
      </c>
      <c r="H1253" t="s">
        <v>305</v>
      </c>
      <c r="I1253" t="s">
        <v>205</v>
      </c>
      <c r="J1253" t="s">
        <v>66</v>
      </c>
      <c r="K1253" t="s">
        <v>72</v>
      </c>
    </row>
    <row r="1254" spans="1:11" x14ac:dyDescent="0.2">
      <c r="A1254">
        <v>7</v>
      </c>
      <c r="B1254" s="21">
        <v>46026</v>
      </c>
      <c r="C1254" t="s">
        <v>325</v>
      </c>
      <c r="D1254">
        <v>15</v>
      </c>
      <c r="E1254" t="s">
        <v>325</v>
      </c>
      <c r="F1254" s="21">
        <v>37350</v>
      </c>
      <c r="G1254" s="24" t="s">
        <v>313</v>
      </c>
      <c r="H1254" t="s">
        <v>306</v>
      </c>
      <c r="I1254" t="s">
        <v>38</v>
      </c>
      <c r="J1254" t="s">
        <v>66</v>
      </c>
      <c r="K1254" t="s">
        <v>73</v>
      </c>
    </row>
    <row r="1255" spans="1:11" x14ac:dyDescent="0.2">
      <c r="A1255">
        <v>7</v>
      </c>
      <c r="B1255" s="21">
        <v>46026</v>
      </c>
      <c r="C1255" t="s">
        <v>325</v>
      </c>
      <c r="D1255">
        <v>15</v>
      </c>
      <c r="E1255" t="s">
        <v>325</v>
      </c>
      <c r="F1255" s="21">
        <v>37350</v>
      </c>
      <c r="G1255" s="24" t="s">
        <v>313</v>
      </c>
      <c r="H1255" t="s">
        <v>305</v>
      </c>
      <c r="I1255" t="s">
        <v>200</v>
      </c>
      <c r="J1255" t="s">
        <v>71</v>
      </c>
      <c r="K1255" t="s">
        <v>72</v>
      </c>
    </row>
    <row r="1256" spans="1:11" x14ac:dyDescent="0.2">
      <c r="A1256">
        <v>7</v>
      </c>
      <c r="B1256" s="21">
        <v>46026</v>
      </c>
      <c r="C1256" t="s">
        <v>325</v>
      </c>
      <c r="D1256">
        <v>15</v>
      </c>
      <c r="E1256" t="s">
        <v>325</v>
      </c>
      <c r="F1256" s="21">
        <v>37350</v>
      </c>
      <c r="G1256" s="24" t="s">
        <v>313</v>
      </c>
      <c r="H1256" t="s">
        <v>290</v>
      </c>
      <c r="I1256" t="s">
        <v>30</v>
      </c>
      <c r="J1256" t="s">
        <v>71</v>
      </c>
      <c r="K1256" t="s">
        <v>65</v>
      </c>
    </row>
    <row r="1257" spans="1:11" x14ac:dyDescent="0.2">
      <c r="A1257">
        <v>7</v>
      </c>
      <c r="B1257" s="21">
        <v>46026</v>
      </c>
      <c r="C1257" t="s">
        <v>325</v>
      </c>
      <c r="D1257">
        <v>15</v>
      </c>
      <c r="E1257" t="s">
        <v>325</v>
      </c>
      <c r="F1257" s="21">
        <v>37350</v>
      </c>
      <c r="G1257" s="24" t="s">
        <v>313</v>
      </c>
      <c r="H1257" t="s">
        <v>283</v>
      </c>
      <c r="I1257" t="s">
        <v>200</v>
      </c>
      <c r="J1257" t="s">
        <v>68</v>
      </c>
      <c r="K1257" t="s">
        <v>78</v>
      </c>
    </row>
    <row r="1258" spans="1:11" x14ac:dyDescent="0.2">
      <c r="A1258">
        <v>7</v>
      </c>
      <c r="B1258" s="21">
        <v>46026</v>
      </c>
      <c r="C1258" t="s">
        <v>325</v>
      </c>
      <c r="D1258">
        <v>15</v>
      </c>
      <c r="E1258" t="s">
        <v>325</v>
      </c>
      <c r="F1258" s="21">
        <v>37350</v>
      </c>
      <c r="G1258" s="24" t="s">
        <v>313</v>
      </c>
      <c r="H1258" t="s">
        <v>293</v>
      </c>
      <c r="I1258" t="s">
        <v>311</v>
      </c>
      <c r="J1258" t="s">
        <v>68</v>
      </c>
      <c r="K1258" t="s">
        <v>74</v>
      </c>
    </row>
    <row r="1259" spans="1:11" x14ac:dyDescent="0.2">
      <c r="A1259">
        <v>7</v>
      </c>
      <c r="B1259" s="21">
        <v>46026</v>
      </c>
      <c r="C1259" t="s">
        <v>325</v>
      </c>
      <c r="D1259">
        <v>15</v>
      </c>
      <c r="E1259" t="s">
        <v>325</v>
      </c>
      <c r="F1259" s="21">
        <v>37350</v>
      </c>
      <c r="G1259" s="24" t="s">
        <v>313</v>
      </c>
      <c r="H1259" t="s">
        <v>294</v>
      </c>
      <c r="I1259" t="s">
        <v>82</v>
      </c>
      <c r="J1259" t="s">
        <v>66</v>
      </c>
      <c r="K1259" t="s">
        <v>75</v>
      </c>
    </row>
    <row r="1260" spans="1:11" x14ac:dyDescent="0.2">
      <c r="A1260">
        <v>7</v>
      </c>
      <c r="B1260" s="21">
        <v>46026</v>
      </c>
      <c r="C1260" t="s">
        <v>325</v>
      </c>
      <c r="D1260">
        <v>15</v>
      </c>
      <c r="E1260" t="s">
        <v>325</v>
      </c>
      <c r="F1260" s="21">
        <v>37350</v>
      </c>
      <c r="G1260" s="24" t="s">
        <v>313</v>
      </c>
      <c r="H1260" t="s">
        <v>293</v>
      </c>
      <c r="I1260" t="s">
        <v>261</v>
      </c>
      <c r="J1260" t="s">
        <v>66</v>
      </c>
      <c r="K1260" t="s">
        <v>79</v>
      </c>
    </row>
    <row r="1261" spans="1:11" x14ac:dyDescent="0.2">
      <c r="A1261">
        <v>7</v>
      </c>
      <c r="B1261" s="21">
        <v>46026</v>
      </c>
      <c r="C1261" t="s">
        <v>325</v>
      </c>
      <c r="D1261">
        <v>15</v>
      </c>
      <c r="E1261" t="s">
        <v>325</v>
      </c>
      <c r="F1261" s="21">
        <v>37350</v>
      </c>
      <c r="G1261" s="24" t="s">
        <v>313</v>
      </c>
      <c r="H1261" t="s">
        <v>294</v>
      </c>
      <c r="I1261" t="s">
        <v>205</v>
      </c>
      <c r="K1261" t="s">
        <v>73</v>
      </c>
    </row>
    <row r="1262" spans="1:11" x14ac:dyDescent="0.2">
      <c r="A1262">
        <v>7</v>
      </c>
      <c r="B1262" s="21">
        <v>46026</v>
      </c>
      <c r="C1262" t="s">
        <v>325</v>
      </c>
      <c r="D1262">
        <v>15</v>
      </c>
      <c r="E1262" t="s">
        <v>325</v>
      </c>
      <c r="F1262" s="21">
        <v>37350</v>
      </c>
      <c r="G1262" s="24" t="s">
        <v>313</v>
      </c>
      <c r="H1262" t="s">
        <v>306</v>
      </c>
      <c r="I1262" t="s">
        <v>200</v>
      </c>
      <c r="J1262" t="s">
        <v>68</v>
      </c>
      <c r="K1262" t="s">
        <v>69</v>
      </c>
    </row>
    <row r="1263" spans="1:11" x14ac:dyDescent="0.2">
      <c r="A1263">
        <v>7</v>
      </c>
      <c r="B1263" s="21">
        <v>46026</v>
      </c>
      <c r="C1263" t="s">
        <v>325</v>
      </c>
      <c r="D1263">
        <v>15</v>
      </c>
      <c r="E1263" t="s">
        <v>325</v>
      </c>
      <c r="F1263" s="21">
        <v>37350</v>
      </c>
      <c r="G1263" s="24" t="s">
        <v>313</v>
      </c>
      <c r="H1263" t="s">
        <v>292</v>
      </c>
      <c r="I1263" t="s">
        <v>311</v>
      </c>
      <c r="J1263" t="s">
        <v>71</v>
      </c>
      <c r="K1263" t="s">
        <v>78</v>
      </c>
    </row>
    <row r="1264" spans="1:11" x14ac:dyDescent="0.2">
      <c r="A1264">
        <v>7</v>
      </c>
      <c r="B1264" s="21">
        <v>46026</v>
      </c>
      <c r="C1264" t="s">
        <v>325</v>
      </c>
      <c r="D1264">
        <v>15</v>
      </c>
      <c r="E1264" t="s">
        <v>325</v>
      </c>
      <c r="F1264" s="21">
        <v>37350</v>
      </c>
      <c r="G1264" s="24" t="s">
        <v>313</v>
      </c>
      <c r="H1264" t="s">
        <v>292</v>
      </c>
      <c r="I1264" t="s">
        <v>14</v>
      </c>
      <c r="J1264" t="s">
        <v>80</v>
      </c>
      <c r="K1264" t="s">
        <v>78</v>
      </c>
    </row>
    <row r="1265" spans="1:11" x14ac:dyDescent="0.2">
      <c r="A1265">
        <v>7</v>
      </c>
      <c r="B1265" s="21">
        <v>46026</v>
      </c>
      <c r="C1265" t="s">
        <v>325</v>
      </c>
      <c r="D1265">
        <v>15</v>
      </c>
      <c r="E1265" t="s">
        <v>325</v>
      </c>
      <c r="F1265" s="21">
        <v>37350</v>
      </c>
      <c r="G1265" s="24" t="s">
        <v>313</v>
      </c>
      <c r="H1265" t="s">
        <v>283</v>
      </c>
      <c r="I1265" t="s">
        <v>205</v>
      </c>
      <c r="J1265" t="s">
        <v>66</v>
      </c>
      <c r="K1265" t="s">
        <v>67</v>
      </c>
    </row>
    <row r="1266" spans="1:11" x14ac:dyDescent="0.2">
      <c r="A1266">
        <v>7</v>
      </c>
      <c r="B1266" s="21">
        <v>46026</v>
      </c>
      <c r="C1266" t="s">
        <v>325</v>
      </c>
      <c r="D1266">
        <v>15</v>
      </c>
      <c r="E1266" t="s">
        <v>325</v>
      </c>
      <c r="F1266" s="21">
        <v>37350</v>
      </c>
      <c r="G1266" s="24" t="s">
        <v>313</v>
      </c>
      <c r="H1266" t="s">
        <v>295</v>
      </c>
      <c r="I1266" t="s">
        <v>30</v>
      </c>
      <c r="K1266" t="s">
        <v>74</v>
      </c>
    </row>
    <row r="1267" spans="1:11" x14ac:dyDescent="0.2">
      <c r="A1267">
        <v>7</v>
      </c>
      <c r="B1267" s="21">
        <v>46026</v>
      </c>
      <c r="C1267" t="s">
        <v>325</v>
      </c>
      <c r="D1267">
        <v>15</v>
      </c>
      <c r="E1267" t="s">
        <v>325</v>
      </c>
      <c r="F1267" s="21">
        <v>37350</v>
      </c>
      <c r="G1267" s="24" t="s">
        <v>313</v>
      </c>
      <c r="H1267" t="s">
        <v>292</v>
      </c>
      <c r="I1267" t="s">
        <v>200</v>
      </c>
      <c r="J1267" t="s">
        <v>68</v>
      </c>
      <c r="K1267" t="s">
        <v>75</v>
      </c>
    </row>
    <row r="1268" spans="1:11" x14ac:dyDescent="0.2">
      <c r="A1268">
        <v>7</v>
      </c>
      <c r="B1268" s="21">
        <v>46026</v>
      </c>
      <c r="C1268" t="s">
        <v>325</v>
      </c>
      <c r="D1268">
        <v>15</v>
      </c>
      <c r="E1268" t="s">
        <v>325</v>
      </c>
      <c r="F1268" s="21">
        <v>37350</v>
      </c>
      <c r="G1268" s="24" t="s">
        <v>313</v>
      </c>
      <c r="H1268" t="s">
        <v>293</v>
      </c>
      <c r="I1268" t="s">
        <v>200</v>
      </c>
      <c r="J1268" t="s">
        <v>68</v>
      </c>
      <c r="K1268" t="s">
        <v>75</v>
      </c>
    </row>
    <row r="1269" spans="1:11" x14ac:dyDescent="0.2">
      <c r="A1269">
        <v>7</v>
      </c>
      <c r="B1269" s="21">
        <v>46026</v>
      </c>
      <c r="C1269" t="s">
        <v>325</v>
      </c>
      <c r="D1269">
        <v>15</v>
      </c>
      <c r="E1269" t="s">
        <v>325</v>
      </c>
      <c r="F1269" s="21">
        <v>37350</v>
      </c>
      <c r="G1269" s="24" t="s">
        <v>313</v>
      </c>
      <c r="H1269" t="s">
        <v>283</v>
      </c>
      <c r="I1269" t="s">
        <v>311</v>
      </c>
      <c r="K1269" t="s">
        <v>73</v>
      </c>
    </row>
    <row r="1270" spans="1:11" x14ac:dyDescent="0.2">
      <c r="A1270">
        <v>7</v>
      </c>
      <c r="B1270" s="21">
        <v>46026</v>
      </c>
      <c r="C1270" t="s">
        <v>325</v>
      </c>
      <c r="D1270">
        <v>15</v>
      </c>
      <c r="E1270" t="s">
        <v>325</v>
      </c>
      <c r="F1270" s="21">
        <v>37350</v>
      </c>
      <c r="G1270" s="24" t="s">
        <v>313</v>
      </c>
      <c r="H1270" t="s">
        <v>292</v>
      </c>
      <c r="I1270" t="s">
        <v>200</v>
      </c>
      <c r="J1270" t="s">
        <v>68</v>
      </c>
      <c r="K1270" t="s">
        <v>74</v>
      </c>
    </row>
    <row r="1271" spans="1:11" x14ac:dyDescent="0.2">
      <c r="A1271">
        <v>7</v>
      </c>
      <c r="B1271" s="21">
        <v>46026</v>
      </c>
      <c r="C1271" t="s">
        <v>325</v>
      </c>
      <c r="D1271">
        <v>15</v>
      </c>
      <c r="E1271" t="s">
        <v>325</v>
      </c>
      <c r="F1271" s="21">
        <v>37350</v>
      </c>
      <c r="G1271" s="24" t="s">
        <v>313</v>
      </c>
      <c r="H1271" t="s">
        <v>282</v>
      </c>
      <c r="I1271" t="s">
        <v>200</v>
      </c>
      <c r="J1271" t="s">
        <v>68</v>
      </c>
      <c r="K1271" t="s">
        <v>74</v>
      </c>
    </row>
    <row r="1272" spans="1:11" x14ac:dyDescent="0.2">
      <c r="A1272">
        <v>7</v>
      </c>
      <c r="B1272" s="21">
        <v>46026</v>
      </c>
      <c r="C1272" t="s">
        <v>325</v>
      </c>
      <c r="D1272">
        <v>15</v>
      </c>
      <c r="E1272" t="s">
        <v>325</v>
      </c>
      <c r="F1272" s="21">
        <v>37350</v>
      </c>
      <c r="G1272" s="24" t="s">
        <v>313</v>
      </c>
      <c r="H1272" t="s">
        <v>295</v>
      </c>
      <c r="I1272" t="s">
        <v>30</v>
      </c>
      <c r="J1272" t="s">
        <v>71</v>
      </c>
      <c r="K1272" t="s">
        <v>72</v>
      </c>
    </row>
    <row r="1273" spans="1:11" x14ac:dyDescent="0.2">
      <c r="A1273">
        <v>7</v>
      </c>
      <c r="B1273" s="21">
        <v>46026</v>
      </c>
      <c r="C1273" t="s">
        <v>325</v>
      </c>
      <c r="D1273">
        <v>15</v>
      </c>
      <c r="E1273" t="s">
        <v>325</v>
      </c>
      <c r="F1273" s="21">
        <v>37350</v>
      </c>
      <c r="G1273" s="24" t="s">
        <v>313</v>
      </c>
      <c r="H1273" t="s">
        <v>295</v>
      </c>
      <c r="I1273" t="s">
        <v>200</v>
      </c>
      <c r="J1273" t="s">
        <v>71</v>
      </c>
      <c r="K1273" t="s">
        <v>65</v>
      </c>
    </row>
    <row r="1274" spans="1:11" x14ac:dyDescent="0.2">
      <c r="A1274">
        <v>7</v>
      </c>
      <c r="B1274" s="21">
        <v>46026</v>
      </c>
      <c r="C1274" t="s">
        <v>325</v>
      </c>
      <c r="D1274">
        <v>15</v>
      </c>
      <c r="E1274" t="s">
        <v>325</v>
      </c>
      <c r="F1274" s="21">
        <v>37350</v>
      </c>
      <c r="G1274" s="24" t="s">
        <v>314</v>
      </c>
      <c r="H1274" t="s">
        <v>282</v>
      </c>
      <c r="I1274" t="s">
        <v>200</v>
      </c>
      <c r="J1274" t="s">
        <v>68</v>
      </c>
      <c r="K1274" t="s">
        <v>75</v>
      </c>
    </row>
    <row r="1275" spans="1:11" x14ac:dyDescent="0.2">
      <c r="A1275">
        <v>7</v>
      </c>
      <c r="B1275" s="21">
        <v>46026</v>
      </c>
      <c r="C1275" t="s">
        <v>325</v>
      </c>
      <c r="D1275">
        <v>15</v>
      </c>
      <c r="E1275" t="s">
        <v>325</v>
      </c>
      <c r="F1275" s="21">
        <v>37350</v>
      </c>
      <c r="G1275" s="24" t="s">
        <v>314</v>
      </c>
      <c r="H1275" t="s">
        <v>294</v>
      </c>
      <c r="I1275" t="s">
        <v>200</v>
      </c>
      <c r="J1275" t="s">
        <v>71</v>
      </c>
      <c r="K1275" t="s">
        <v>75</v>
      </c>
    </row>
    <row r="1276" spans="1:11" x14ac:dyDescent="0.2">
      <c r="A1276">
        <v>7</v>
      </c>
      <c r="B1276" s="21">
        <v>46026</v>
      </c>
      <c r="C1276" t="s">
        <v>325</v>
      </c>
      <c r="D1276">
        <v>15</v>
      </c>
      <c r="E1276" t="s">
        <v>325</v>
      </c>
      <c r="F1276" s="21">
        <v>37350</v>
      </c>
      <c r="G1276" s="24" t="s">
        <v>314</v>
      </c>
      <c r="H1276" t="s">
        <v>287</v>
      </c>
      <c r="I1276" t="s">
        <v>261</v>
      </c>
      <c r="J1276" t="s">
        <v>66</v>
      </c>
      <c r="K1276" t="s">
        <v>70</v>
      </c>
    </row>
    <row r="1277" spans="1:11" x14ac:dyDescent="0.2">
      <c r="A1277">
        <v>7</v>
      </c>
      <c r="B1277" s="21">
        <v>46026</v>
      </c>
      <c r="C1277" t="s">
        <v>325</v>
      </c>
      <c r="D1277">
        <v>15</v>
      </c>
      <c r="E1277" t="s">
        <v>325</v>
      </c>
      <c r="F1277" s="21">
        <v>37350</v>
      </c>
      <c r="G1277" s="24" t="s">
        <v>314</v>
      </c>
      <c r="H1277" t="s">
        <v>282</v>
      </c>
      <c r="I1277" t="s">
        <v>200</v>
      </c>
      <c r="J1277" t="s">
        <v>71</v>
      </c>
      <c r="K1277" t="s">
        <v>69</v>
      </c>
    </row>
    <row r="1278" spans="1:11" x14ac:dyDescent="0.2">
      <c r="A1278">
        <v>7</v>
      </c>
      <c r="B1278" s="21">
        <v>46026</v>
      </c>
      <c r="C1278" t="s">
        <v>325</v>
      </c>
      <c r="D1278">
        <v>15</v>
      </c>
      <c r="E1278" t="s">
        <v>325</v>
      </c>
      <c r="F1278" s="21">
        <v>37350</v>
      </c>
      <c r="G1278" s="24" t="s">
        <v>314</v>
      </c>
      <c r="H1278" t="s">
        <v>282</v>
      </c>
      <c r="I1278" t="s">
        <v>14</v>
      </c>
      <c r="J1278" t="s">
        <v>80</v>
      </c>
      <c r="K1278" t="s">
        <v>69</v>
      </c>
    </row>
    <row r="1279" spans="1:11" x14ac:dyDescent="0.2">
      <c r="A1279">
        <v>7</v>
      </c>
      <c r="B1279" s="21">
        <v>46026</v>
      </c>
      <c r="C1279" t="s">
        <v>325</v>
      </c>
      <c r="D1279">
        <v>15</v>
      </c>
      <c r="E1279" t="s">
        <v>325</v>
      </c>
      <c r="F1279" s="21">
        <v>37350</v>
      </c>
      <c r="G1279" s="24" t="s">
        <v>314</v>
      </c>
      <c r="H1279" t="s">
        <v>294</v>
      </c>
      <c r="I1279" t="s">
        <v>200</v>
      </c>
      <c r="J1279" t="s">
        <v>71</v>
      </c>
      <c r="K1279" t="s">
        <v>74</v>
      </c>
    </row>
    <row r="1280" spans="1:11" x14ac:dyDescent="0.2">
      <c r="A1280">
        <v>7</v>
      </c>
      <c r="B1280" s="21">
        <v>46026</v>
      </c>
      <c r="C1280" t="s">
        <v>325</v>
      </c>
      <c r="D1280">
        <v>15</v>
      </c>
      <c r="E1280" t="s">
        <v>325</v>
      </c>
      <c r="F1280" s="21">
        <v>37350</v>
      </c>
      <c r="G1280" s="24" t="s">
        <v>314</v>
      </c>
      <c r="H1280" t="s">
        <v>292</v>
      </c>
      <c r="I1280" t="s">
        <v>311</v>
      </c>
      <c r="J1280" t="s">
        <v>68</v>
      </c>
      <c r="K1280" t="s">
        <v>73</v>
      </c>
    </row>
    <row r="1281" spans="1:11" x14ac:dyDescent="0.2">
      <c r="A1281">
        <v>7</v>
      </c>
      <c r="B1281" s="21">
        <v>46026</v>
      </c>
      <c r="C1281" t="s">
        <v>325</v>
      </c>
      <c r="D1281">
        <v>15</v>
      </c>
      <c r="E1281" t="s">
        <v>325</v>
      </c>
      <c r="F1281" s="21">
        <v>37350</v>
      </c>
      <c r="G1281" s="24" t="s">
        <v>314</v>
      </c>
      <c r="H1281" t="s">
        <v>283</v>
      </c>
      <c r="I1281" t="s">
        <v>200</v>
      </c>
      <c r="J1281" t="s">
        <v>71</v>
      </c>
      <c r="K1281" t="s">
        <v>67</v>
      </c>
    </row>
    <row r="1282" spans="1:11" x14ac:dyDescent="0.2">
      <c r="A1282">
        <v>7</v>
      </c>
      <c r="B1282" s="21">
        <v>46026</v>
      </c>
      <c r="C1282" t="s">
        <v>325</v>
      </c>
      <c r="D1282">
        <v>15</v>
      </c>
      <c r="E1282" t="s">
        <v>325</v>
      </c>
      <c r="F1282" s="21">
        <v>37350</v>
      </c>
      <c r="G1282" s="24" t="s">
        <v>314</v>
      </c>
      <c r="H1282" t="s">
        <v>294</v>
      </c>
      <c r="I1282" t="s">
        <v>9</v>
      </c>
      <c r="J1282" t="s">
        <v>66</v>
      </c>
      <c r="K1282" t="s">
        <v>74</v>
      </c>
    </row>
    <row r="1283" spans="1:11" x14ac:dyDescent="0.2">
      <c r="A1283">
        <v>7</v>
      </c>
      <c r="B1283" s="21">
        <v>46026</v>
      </c>
      <c r="C1283" t="s">
        <v>325</v>
      </c>
      <c r="D1283">
        <v>15</v>
      </c>
      <c r="E1283" t="s">
        <v>325</v>
      </c>
      <c r="F1283" s="21">
        <v>37350</v>
      </c>
      <c r="G1283" s="24" t="s">
        <v>314</v>
      </c>
      <c r="H1283" t="s">
        <v>287</v>
      </c>
      <c r="I1283" t="s">
        <v>199</v>
      </c>
      <c r="J1283" t="s">
        <v>71</v>
      </c>
      <c r="K1283" t="s">
        <v>69</v>
      </c>
    </row>
    <row r="1284" spans="1:11" x14ac:dyDescent="0.2">
      <c r="A1284">
        <v>7</v>
      </c>
      <c r="B1284" s="21">
        <v>46026</v>
      </c>
      <c r="C1284" t="s">
        <v>325</v>
      </c>
      <c r="D1284">
        <v>15</v>
      </c>
      <c r="E1284" t="s">
        <v>325</v>
      </c>
      <c r="F1284" s="21">
        <v>37350</v>
      </c>
      <c r="G1284" s="24" t="s">
        <v>314</v>
      </c>
      <c r="H1284" t="s">
        <v>294</v>
      </c>
      <c r="I1284" t="s">
        <v>30</v>
      </c>
      <c r="J1284" t="s">
        <v>71</v>
      </c>
      <c r="K1284" t="s">
        <v>73</v>
      </c>
    </row>
    <row r="1285" spans="1:11" x14ac:dyDescent="0.2">
      <c r="A1285">
        <v>7</v>
      </c>
      <c r="B1285" s="21">
        <v>46026</v>
      </c>
      <c r="C1285" t="s">
        <v>325</v>
      </c>
      <c r="D1285">
        <v>15</v>
      </c>
      <c r="E1285" t="s">
        <v>325</v>
      </c>
      <c r="F1285" s="21">
        <v>37350</v>
      </c>
      <c r="G1285" s="24" t="s">
        <v>314</v>
      </c>
      <c r="H1285" t="s">
        <v>306</v>
      </c>
      <c r="I1285" t="s">
        <v>200</v>
      </c>
      <c r="J1285" t="s">
        <v>71</v>
      </c>
      <c r="K1285" t="s">
        <v>75</v>
      </c>
    </row>
    <row r="1286" spans="1:11" x14ac:dyDescent="0.2">
      <c r="A1286">
        <v>7</v>
      </c>
      <c r="B1286" s="21">
        <v>46026</v>
      </c>
      <c r="C1286" t="s">
        <v>325</v>
      </c>
      <c r="D1286">
        <v>15</v>
      </c>
      <c r="E1286" t="s">
        <v>325</v>
      </c>
      <c r="F1286" s="21">
        <v>37350</v>
      </c>
      <c r="G1286" s="24" t="s">
        <v>314</v>
      </c>
      <c r="H1286" t="s">
        <v>292</v>
      </c>
      <c r="I1286" t="s">
        <v>311</v>
      </c>
      <c r="J1286" t="s">
        <v>68</v>
      </c>
      <c r="K1286" t="s">
        <v>75</v>
      </c>
    </row>
    <row r="1287" spans="1:11" x14ac:dyDescent="0.2">
      <c r="A1287">
        <v>7</v>
      </c>
      <c r="B1287" s="21">
        <v>46026</v>
      </c>
      <c r="C1287" t="s">
        <v>325</v>
      </c>
      <c r="D1287">
        <v>15</v>
      </c>
      <c r="E1287" t="s">
        <v>325</v>
      </c>
      <c r="F1287" s="21">
        <v>37350</v>
      </c>
      <c r="G1287" s="24" t="s">
        <v>314</v>
      </c>
      <c r="H1287" t="s">
        <v>306</v>
      </c>
      <c r="I1287" t="s">
        <v>200</v>
      </c>
      <c r="J1287" t="s">
        <v>71</v>
      </c>
      <c r="K1287" t="s">
        <v>65</v>
      </c>
    </row>
    <row r="1288" spans="1:11" x14ac:dyDescent="0.2">
      <c r="A1288">
        <v>7</v>
      </c>
      <c r="B1288" s="21">
        <v>46026</v>
      </c>
      <c r="C1288" t="s">
        <v>325</v>
      </c>
      <c r="D1288">
        <v>15</v>
      </c>
      <c r="E1288" t="s">
        <v>325</v>
      </c>
      <c r="F1288" s="21">
        <v>37350</v>
      </c>
      <c r="G1288" s="24" t="s">
        <v>314</v>
      </c>
      <c r="H1288" t="s">
        <v>292</v>
      </c>
      <c r="I1288" t="s">
        <v>311</v>
      </c>
      <c r="J1288" t="s">
        <v>71</v>
      </c>
      <c r="K1288" t="s">
        <v>74</v>
      </c>
    </row>
    <row r="1289" spans="1:11" x14ac:dyDescent="0.2">
      <c r="A1289">
        <v>7</v>
      </c>
      <c r="B1289" s="21">
        <v>46026</v>
      </c>
      <c r="C1289" t="s">
        <v>325</v>
      </c>
      <c r="D1289">
        <v>15</v>
      </c>
      <c r="E1289" t="s">
        <v>325</v>
      </c>
      <c r="F1289" s="21">
        <v>37350</v>
      </c>
      <c r="G1289" s="24" t="s">
        <v>314</v>
      </c>
      <c r="H1289" t="s">
        <v>292</v>
      </c>
      <c r="I1289" t="s">
        <v>6</v>
      </c>
      <c r="J1289" t="s">
        <v>66</v>
      </c>
      <c r="K1289" t="s">
        <v>74</v>
      </c>
    </row>
    <row r="1290" spans="1:11" x14ac:dyDescent="0.2">
      <c r="A1290">
        <v>7</v>
      </c>
      <c r="B1290" s="21">
        <v>46026</v>
      </c>
      <c r="C1290" t="s">
        <v>325</v>
      </c>
      <c r="D1290">
        <v>15</v>
      </c>
      <c r="E1290" t="s">
        <v>325</v>
      </c>
      <c r="F1290" s="21">
        <v>37350</v>
      </c>
      <c r="G1290" s="24" t="s">
        <v>314</v>
      </c>
      <c r="H1290" t="s">
        <v>306</v>
      </c>
      <c r="I1290" t="s">
        <v>200</v>
      </c>
      <c r="J1290" t="s">
        <v>71</v>
      </c>
      <c r="K1290" t="s">
        <v>78</v>
      </c>
    </row>
    <row r="1291" spans="1:11" x14ac:dyDescent="0.2">
      <c r="A1291">
        <v>7</v>
      </c>
      <c r="B1291" s="21">
        <v>46026</v>
      </c>
      <c r="C1291" t="s">
        <v>325</v>
      </c>
      <c r="D1291">
        <v>15</v>
      </c>
      <c r="E1291" t="s">
        <v>325</v>
      </c>
      <c r="F1291" s="21">
        <v>37350</v>
      </c>
      <c r="G1291" s="24" t="s">
        <v>314</v>
      </c>
      <c r="H1291" t="s">
        <v>306</v>
      </c>
      <c r="I1291" t="s">
        <v>9</v>
      </c>
      <c r="J1291" t="s">
        <v>71</v>
      </c>
      <c r="K1291" t="s">
        <v>78</v>
      </c>
    </row>
    <row r="1292" spans="1:11" x14ac:dyDescent="0.2">
      <c r="A1292">
        <v>7</v>
      </c>
      <c r="B1292" s="21">
        <v>46026</v>
      </c>
      <c r="C1292" t="s">
        <v>325</v>
      </c>
      <c r="D1292">
        <v>15</v>
      </c>
      <c r="E1292" t="s">
        <v>325</v>
      </c>
      <c r="F1292" s="21">
        <v>37350</v>
      </c>
      <c r="G1292" s="24" t="s">
        <v>314</v>
      </c>
      <c r="H1292" t="s">
        <v>287</v>
      </c>
      <c r="I1292" t="s">
        <v>199</v>
      </c>
      <c r="J1292" t="s">
        <v>68</v>
      </c>
      <c r="K1292" t="s">
        <v>69</v>
      </c>
    </row>
    <row r="1293" spans="1:11" x14ac:dyDescent="0.2">
      <c r="A1293">
        <v>7</v>
      </c>
      <c r="B1293" s="21">
        <v>46026</v>
      </c>
      <c r="C1293" t="s">
        <v>325</v>
      </c>
      <c r="D1293">
        <v>15</v>
      </c>
      <c r="E1293" t="s">
        <v>325</v>
      </c>
      <c r="F1293" s="21">
        <v>37350</v>
      </c>
      <c r="G1293" s="24" t="s">
        <v>314</v>
      </c>
      <c r="H1293" t="s">
        <v>293</v>
      </c>
      <c r="I1293" t="s">
        <v>311</v>
      </c>
      <c r="J1293" t="s">
        <v>71</v>
      </c>
      <c r="K1293" t="s">
        <v>70</v>
      </c>
    </row>
    <row r="1294" spans="1:11" x14ac:dyDescent="0.2">
      <c r="A1294">
        <v>7</v>
      </c>
      <c r="B1294" s="21">
        <v>46026</v>
      </c>
      <c r="C1294" t="s">
        <v>325</v>
      </c>
      <c r="D1294">
        <v>15</v>
      </c>
      <c r="E1294" t="s">
        <v>325</v>
      </c>
      <c r="F1294" s="21">
        <v>37350</v>
      </c>
      <c r="G1294" s="24" t="s">
        <v>314</v>
      </c>
      <c r="H1294" t="s">
        <v>293</v>
      </c>
      <c r="I1294" t="s">
        <v>12</v>
      </c>
      <c r="J1294" t="s">
        <v>71</v>
      </c>
      <c r="K1294" t="s">
        <v>70</v>
      </c>
    </row>
    <row r="1295" spans="1:11" x14ac:dyDescent="0.2">
      <c r="A1295">
        <v>7</v>
      </c>
      <c r="B1295" s="21">
        <v>46026</v>
      </c>
      <c r="C1295" t="s">
        <v>325</v>
      </c>
      <c r="D1295">
        <v>15</v>
      </c>
      <c r="E1295" t="s">
        <v>325</v>
      </c>
      <c r="F1295" s="21">
        <v>37350</v>
      </c>
      <c r="G1295" s="24" t="s">
        <v>314</v>
      </c>
      <c r="H1295" t="s">
        <v>293</v>
      </c>
      <c r="I1295" t="s">
        <v>40</v>
      </c>
      <c r="J1295" t="s">
        <v>66</v>
      </c>
      <c r="K1295" t="s">
        <v>69</v>
      </c>
    </row>
    <row r="1296" spans="1:11" x14ac:dyDescent="0.2">
      <c r="A1296">
        <v>7</v>
      </c>
      <c r="B1296" s="21">
        <v>46026</v>
      </c>
      <c r="C1296" t="s">
        <v>325</v>
      </c>
      <c r="D1296">
        <v>15</v>
      </c>
      <c r="E1296" t="s">
        <v>325</v>
      </c>
      <c r="F1296" s="21">
        <v>37350</v>
      </c>
      <c r="G1296" s="24" t="s">
        <v>314</v>
      </c>
      <c r="H1296" t="s">
        <v>306</v>
      </c>
      <c r="I1296" t="s">
        <v>14</v>
      </c>
      <c r="J1296" t="s">
        <v>80</v>
      </c>
      <c r="K1296" t="s">
        <v>69</v>
      </c>
    </row>
    <row r="1297" spans="1:11" x14ac:dyDescent="0.2">
      <c r="A1297">
        <v>7</v>
      </c>
      <c r="B1297" s="21">
        <v>46026</v>
      </c>
      <c r="C1297" t="s">
        <v>325</v>
      </c>
      <c r="D1297">
        <v>15</v>
      </c>
      <c r="E1297" t="s">
        <v>325</v>
      </c>
      <c r="F1297" s="21">
        <v>37350</v>
      </c>
      <c r="G1297" s="24" t="s">
        <v>314</v>
      </c>
      <c r="H1297" t="s">
        <v>306</v>
      </c>
      <c r="I1297" t="s">
        <v>16</v>
      </c>
      <c r="J1297" t="s">
        <v>66</v>
      </c>
      <c r="K1297" t="s">
        <v>69</v>
      </c>
    </row>
    <row r="1298" spans="1:11" x14ac:dyDescent="0.2">
      <c r="A1298">
        <v>7</v>
      </c>
      <c r="B1298" s="21">
        <v>46026</v>
      </c>
      <c r="C1298" t="s">
        <v>325</v>
      </c>
      <c r="D1298">
        <v>15</v>
      </c>
      <c r="E1298" t="s">
        <v>325</v>
      </c>
      <c r="F1298" s="21">
        <v>37350</v>
      </c>
      <c r="G1298" s="24" t="s">
        <v>314</v>
      </c>
      <c r="H1298" t="s">
        <v>306</v>
      </c>
      <c r="I1298" t="s">
        <v>200</v>
      </c>
      <c r="J1298" t="s">
        <v>71</v>
      </c>
      <c r="K1298" t="s">
        <v>75</v>
      </c>
    </row>
    <row r="1299" spans="1:11" x14ac:dyDescent="0.2">
      <c r="A1299">
        <v>7</v>
      </c>
      <c r="B1299" s="21">
        <v>46026</v>
      </c>
      <c r="C1299" t="s">
        <v>325</v>
      </c>
      <c r="D1299">
        <v>15</v>
      </c>
      <c r="E1299" t="s">
        <v>325</v>
      </c>
      <c r="F1299" s="21">
        <v>37350</v>
      </c>
      <c r="G1299" s="24" t="s">
        <v>314</v>
      </c>
      <c r="H1299" t="s">
        <v>292</v>
      </c>
      <c r="I1299" t="s">
        <v>311</v>
      </c>
      <c r="J1299" t="s">
        <v>71</v>
      </c>
      <c r="K1299" t="s">
        <v>75</v>
      </c>
    </row>
    <row r="1300" spans="1:11" x14ac:dyDescent="0.2">
      <c r="A1300">
        <v>7</v>
      </c>
      <c r="B1300" s="21">
        <v>46026</v>
      </c>
      <c r="C1300" t="s">
        <v>325</v>
      </c>
      <c r="D1300">
        <v>15</v>
      </c>
      <c r="E1300" t="s">
        <v>325</v>
      </c>
      <c r="F1300" s="21">
        <v>37350</v>
      </c>
      <c r="G1300" s="24" t="s">
        <v>276</v>
      </c>
      <c r="H1300" t="s">
        <v>306</v>
      </c>
      <c r="I1300" t="s">
        <v>200</v>
      </c>
      <c r="J1300" t="s">
        <v>71</v>
      </c>
      <c r="K1300" t="s">
        <v>74</v>
      </c>
    </row>
    <row r="1301" spans="1:11" x14ac:dyDescent="0.2">
      <c r="A1301">
        <v>7</v>
      </c>
      <c r="B1301" s="21">
        <v>46026</v>
      </c>
      <c r="C1301" t="s">
        <v>325</v>
      </c>
      <c r="D1301">
        <v>15</v>
      </c>
      <c r="E1301" t="s">
        <v>325</v>
      </c>
      <c r="F1301" s="21">
        <v>37350</v>
      </c>
      <c r="G1301" s="24" t="s">
        <v>276</v>
      </c>
      <c r="H1301" t="s">
        <v>283</v>
      </c>
      <c r="I1301" t="s">
        <v>200</v>
      </c>
      <c r="J1301" t="s">
        <v>71</v>
      </c>
      <c r="K1301" t="s">
        <v>67</v>
      </c>
    </row>
    <row r="1302" spans="1:11" x14ac:dyDescent="0.2">
      <c r="A1302">
        <v>7</v>
      </c>
      <c r="B1302" s="21">
        <v>46026</v>
      </c>
      <c r="C1302" t="s">
        <v>325</v>
      </c>
      <c r="D1302">
        <v>15</v>
      </c>
      <c r="E1302" t="s">
        <v>325</v>
      </c>
      <c r="F1302" s="21">
        <v>37350</v>
      </c>
      <c r="G1302" s="24" t="s">
        <v>276</v>
      </c>
      <c r="H1302" t="s">
        <v>295</v>
      </c>
      <c r="I1302" t="s">
        <v>200</v>
      </c>
      <c r="J1302" t="s">
        <v>71</v>
      </c>
      <c r="K1302" t="s">
        <v>65</v>
      </c>
    </row>
    <row r="1303" spans="1:11" x14ac:dyDescent="0.2">
      <c r="A1303">
        <v>7</v>
      </c>
      <c r="B1303" s="21">
        <v>46026</v>
      </c>
      <c r="C1303" t="s">
        <v>325</v>
      </c>
      <c r="D1303">
        <v>15</v>
      </c>
      <c r="E1303" t="s">
        <v>325</v>
      </c>
      <c r="F1303" s="21">
        <v>37350</v>
      </c>
      <c r="G1303" s="24" t="s">
        <v>276</v>
      </c>
      <c r="H1303" t="s">
        <v>293</v>
      </c>
      <c r="I1303" t="s">
        <v>311</v>
      </c>
      <c r="J1303" t="s">
        <v>68</v>
      </c>
      <c r="K1303" t="s">
        <v>74</v>
      </c>
    </row>
    <row r="1304" spans="1:11" x14ac:dyDescent="0.2">
      <c r="A1304">
        <v>7</v>
      </c>
      <c r="B1304" s="21">
        <v>46026</v>
      </c>
      <c r="C1304" t="s">
        <v>325</v>
      </c>
      <c r="D1304">
        <v>15</v>
      </c>
      <c r="E1304" t="s">
        <v>325</v>
      </c>
      <c r="F1304" s="21">
        <v>37350</v>
      </c>
      <c r="G1304" s="24" t="s">
        <v>276</v>
      </c>
      <c r="H1304" t="s">
        <v>294</v>
      </c>
      <c r="I1304" t="s">
        <v>6</v>
      </c>
      <c r="J1304" t="s">
        <v>66</v>
      </c>
      <c r="K1304" t="s">
        <v>73</v>
      </c>
    </row>
    <row r="1305" spans="1:11" x14ac:dyDescent="0.2">
      <c r="A1305">
        <v>7</v>
      </c>
      <c r="B1305" s="21">
        <v>46026</v>
      </c>
      <c r="C1305" t="s">
        <v>325</v>
      </c>
      <c r="D1305">
        <v>15</v>
      </c>
      <c r="E1305" t="s">
        <v>325</v>
      </c>
      <c r="F1305" s="21">
        <v>37350</v>
      </c>
      <c r="G1305" s="24" t="s">
        <v>276</v>
      </c>
      <c r="H1305" t="s">
        <v>292</v>
      </c>
      <c r="I1305" t="s">
        <v>6</v>
      </c>
      <c r="J1305" t="s">
        <v>66</v>
      </c>
      <c r="K1305" t="s">
        <v>73</v>
      </c>
    </row>
    <row r="1306" spans="1:11" x14ac:dyDescent="0.2">
      <c r="A1306">
        <v>7</v>
      </c>
      <c r="B1306" s="21">
        <v>46026</v>
      </c>
      <c r="C1306" t="s">
        <v>325</v>
      </c>
      <c r="D1306">
        <v>15</v>
      </c>
      <c r="E1306" t="s">
        <v>325</v>
      </c>
      <c r="F1306" s="21">
        <v>37350</v>
      </c>
      <c r="G1306" s="24" t="s">
        <v>276</v>
      </c>
      <c r="H1306" t="s">
        <v>294</v>
      </c>
      <c r="I1306" t="s">
        <v>30</v>
      </c>
      <c r="J1306" t="s">
        <v>64</v>
      </c>
      <c r="K1306" t="s">
        <v>74</v>
      </c>
    </row>
    <row r="1307" spans="1:11" x14ac:dyDescent="0.2">
      <c r="A1307">
        <v>7</v>
      </c>
      <c r="B1307" s="21">
        <v>46026</v>
      </c>
      <c r="C1307" t="s">
        <v>325</v>
      </c>
      <c r="D1307">
        <v>15</v>
      </c>
      <c r="E1307" t="s">
        <v>325</v>
      </c>
      <c r="F1307" s="21">
        <v>37350</v>
      </c>
      <c r="G1307" s="24" t="s">
        <v>276</v>
      </c>
      <c r="H1307" t="s">
        <v>292</v>
      </c>
      <c r="I1307" t="s">
        <v>30</v>
      </c>
      <c r="J1307" t="s">
        <v>64</v>
      </c>
      <c r="K1307" t="s">
        <v>74</v>
      </c>
    </row>
    <row r="1308" spans="1:11" x14ac:dyDescent="0.2">
      <c r="A1308">
        <v>7</v>
      </c>
      <c r="B1308" s="21">
        <v>46026</v>
      </c>
      <c r="C1308" t="s">
        <v>325</v>
      </c>
      <c r="D1308">
        <v>15</v>
      </c>
      <c r="E1308" t="s">
        <v>325</v>
      </c>
      <c r="F1308" s="21">
        <v>37350</v>
      </c>
      <c r="G1308" s="24" t="s">
        <v>276</v>
      </c>
      <c r="H1308" t="s">
        <v>293</v>
      </c>
      <c r="I1308" t="s">
        <v>30</v>
      </c>
      <c r="J1308" t="s">
        <v>64</v>
      </c>
      <c r="K1308" t="s">
        <v>74</v>
      </c>
    </row>
    <row r="1309" spans="1:11" x14ac:dyDescent="0.2">
      <c r="A1309">
        <v>7</v>
      </c>
      <c r="B1309" s="21">
        <v>46026</v>
      </c>
      <c r="C1309" t="s">
        <v>325</v>
      </c>
      <c r="D1309">
        <v>15</v>
      </c>
      <c r="E1309" t="s">
        <v>325</v>
      </c>
      <c r="F1309" s="21">
        <v>37350</v>
      </c>
      <c r="G1309" s="24" t="s">
        <v>276</v>
      </c>
      <c r="H1309" t="s">
        <v>306</v>
      </c>
      <c r="I1309" t="s">
        <v>200</v>
      </c>
      <c r="J1309" t="s">
        <v>71</v>
      </c>
      <c r="K1309" t="s">
        <v>75</v>
      </c>
    </row>
    <row r="1310" spans="1:11" x14ac:dyDescent="0.2">
      <c r="A1310">
        <v>7</v>
      </c>
      <c r="B1310" s="21">
        <v>46026</v>
      </c>
      <c r="C1310" t="s">
        <v>325</v>
      </c>
      <c r="D1310">
        <v>15</v>
      </c>
      <c r="E1310" t="s">
        <v>325</v>
      </c>
      <c r="F1310" s="21">
        <v>37350</v>
      </c>
      <c r="G1310" s="24" t="s">
        <v>276</v>
      </c>
      <c r="H1310" t="s">
        <v>305</v>
      </c>
      <c r="I1310" t="s">
        <v>200</v>
      </c>
      <c r="J1310" t="s">
        <v>71</v>
      </c>
      <c r="K1310" t="s">
        <v>74</v>
      </c>
    </row>
    <row r="1311" spans="1:11" x14ac:dyDescent="0.2">
      <c r="A1311">
        <v>7</v>
      </c>
      <c r="B1311" s="21">
        <v>46026</v>
      </c>
      <c r="C1311" t="s">
        <v>325</v>
      </c>
      <c r="D1311">
        <v>15</v>
      </c>
      <c r="E1311" t="s">
        <v>325</v>
      </c>
      <c r="F1311" s="21">
        <v>37350</v>
      </c>
      <c r="G1311" s="24" t="s">
        <v>276</v>
      </c>
      <c r="H1311" t="s">
        <v>292</v>
      </c>
      <c r="I1311" t="s">
        <v>311</v>
      </c>
      <c r="J1311" t="s">
        <v>64</v>
      </c>
      <c r="K1311" t="s">
        <v>75</v>
      </c>
    </row>
    <row r="1312" spans="1:11" x14ac:dyDescent="0.2">
      <c r="A1312">
        <v>7</v>
      </c>
      <c r="B1312" s="21">
        <v>46026</v>
      </c>
      <c r="C1312" t="s">
        <v>325</v>
      </c>
      <c r="D1312">
        <v>15</v>
      </c>
      <c r="E1312" t="s">
        <v>325</v>
      </c>
      <c r="F1312" s="21">
        <v>37350</v>
      </c>
      <c r="G1312" s="24" t="s">
        <v>276</v>
      </c>
      <c r="H1312" t="s">
        <v>290</v>
      </c>
      <c r="I1312" t="s">
        <v>30</v>
      </c>
      <c r="J1312" t="s">
        <v>71</v>
      </c>
      <c r="K1312" t="s">
        <v>65</v>
      </c>
    </row>
    <row r="1313" spans="1:11" x14ac:dyDescent="0.2">
      <c r="A1313">
        <v>7</v>
      </c>
      <c r="B1313" s="21">
        <v>46026</v>
      </c>
      <c r="C1313" t="s">
        <v>325</v>
      </c>
      <c r="D1313">
        <v>15</v>
      </c>
      <c r="E1313" t="s">
        <v>325</v>
      </c>
      <c r="F1313" s="21">
        <v>37350</v>
      </c>
      <c r="G1313" s="24" t="s">
        <v>276</v>
      </c>
      <c r="H1313" t="s">
        <v>282</v>
      </c>
      <c r="I1313" t="s">
        <v>38</v>
      </c>
      <c r="J1313" t="s">
        <v>66</v>
      </c>
      <c r="K1313" t="s">
        <v>74</v>
      </c>
    </row>
    <row r="1314" spans="1:11" x14ac:dyDescent="0.2">
      <c r="A1314">
        <v>7</v>
      </c>
      <c r="B1314" s="21">
        <v>46026</v>
      </c>
      <c r="C1314" t="s">
        <v>325</v>
      </c>
      <c r="D1314">
        <v>15</v>
      </c>
      <c r="E1314" t="s">
        <v>325</v>
      </c>
      <c r="F1314" s="21">
        <v>37350</v>
      </c>
      <c r="G1314" s="24" t="s">
        <v>276</v>
      </c>
      <c r="H1314" t="s">
        <v>282</v>
      </c>
      <c r="I1314" t="s">
        <v>32</v>
      </c>
      <c r="J1314" t="s">
        <v>64</v>
      </c>
      <c r="K1314" t="s">
        <v>74</v>
      </c>
    </row>
    <row r="1315" spans="1:11" x14ac:dyDescent="0.2">
      <c r="A1315">
        <v>7</v>
      </c>
      <c r="B1315" s="21">
        <v>46026</v>
      </c>
      <c r="C1315" t="s">
        <v>325</v>
      </c>
      <c r="D1315">
        <v>15</v>
      </c>
      <c r="E1315" t="s">
        <v>325</v>
      </c>
      <c r="F1315" s="21">
        <v>37350</v>
      </c>
      <c r="G1315" s="24" t="s">
        <v>276</v>
      </c>
      <c r="H1315" t="s">
        <v>284</v>
      </c>
      <c r="I1315" t="s">
        <v>200</v>
      </c>
      <c r="J1315" t="s">
        <v>71</v>
      </c>
      <c r="K1315" t="s">
        <v>74</v>
      </c>
    </row>
    <row r="1316" spans="1:11" x14ac:dyDescent="0.2">
      <c r="A1316">
        <v>7</v>
      </c>
      <c r="B1316" s="21">
        <v>46026</v>
      </c>
      <c r="C1316" t="s">
        <v>325</v>
      </c>
      <c r="D1316">
        <v>15</v>
      </c>
      <c r="E1316" t="s">
        <v>325</v>
      </c>
      <c r="F1316" s="21">
        <v>37350</v>
      </c>
      <c r="G1316" s="24" t="s">
        <v>276</v>
      </c>
      <c r="H1316" t="s">
        <v>306</v>
      </c>
      <c r="I1316" t="s">
        <v>200</v>
      </c>
      <c r="J1316" t="s">
        <v>71</v>
      </c>
      <c r="K1316" t="s">
        <v>75</v>
      </c>
    </row>
    <row r="1317" spans="1:11" x14ac:dyDescent="0.2">
      <c r="A1317">
        <v>7</v>
      </c>
      <c r="B1317" s="21">
        <v>46026</v>
      </c>
      <c r="C1317" t="s">
        <v>325</v>
      </c>
      <c r="D1317">
        <v>15</v>
      </c>
      <c r="E1317" t="s">
        <v>325</v>
      </c>
      <c r="F1317" s="21">
        <v>37350</v>
      </c>
      <c r="G1317" s="24" t="s">
        <v>276</v>
      </c>
      <c r="H1317" t="s">
        <v>306</v>
      </c>
      <c r="I1317" t="s">
        <v>311</v>
      </c>
      <c r="J1317" t="s">
        <v>64</v>
      </c>
      <c r="K1317" t="s">
        <v>75</v>
      </c>
    </row>
    <row r="1318" spans="1:11" x14ac:dyDescent="0.2">
      <c r="A1318">
        <v>7</v>
      </c>
      <c r="B1318" s="21">
        <v>46026</v>
      </c>
      <c r="C1318" t="s">
        <v>325</v>
      </c>
      <c r="D1318">
        <v>15</v>
      </c>
      <c r="E1318" t="s">
        <v>325</v>
      </c>
      <c r="F1318" s="21">
        <v>37350</v>
      </c>
      <c r="G1318" s="24" t="s">
        <v>276</v>
      </c>
      <c r="H1318" t="s">
        <v>306</v>
      </c>
      <c r="I1318" t="s">
        <v>6</v>
      </c>
      <c r="J1318" t="s">
        <v>64</v>
      </c>
      <c r="K1318" t="s">
        <v>75</v>
      </c>
    </row>
    <row r="1319" spans="1:11" x14ac:dyDescent="0.2">
      <c r="A1319">
        <v>7</v>
      </c>
      <c r="B1319" s="21">
        <v>46026</v>
      </c>
      <c r="C1319" t="s">
        <v>325</v>
      </c>
      <c r="D1319">
        <v>15</v>
      </c>
      <c r="E1319" t="s">
        <v>325</v>
      </c>
      <c r="F1319" s="21">
        <v>37350</v>
      </c>
      <c r="G1319" s="24" t="s">
        <v>276</v>
      </c>
      <c r="H1319" t="s">
        <v>319</v>
      </c>
      <c r="I1319" t="s">
        <v>30</v>
      </c>
      <c r="J1319" t="s">
        <v>64</v>
      </c>
      <c r="K1319" t="s">
        <v>74</v>
      </c>
    </row>
    <row r="1320" spans="1:11" x14ac:dyDescent="0.2">
      <c r="A1320">
        <v>7</v>
      </c>
      <c r="B1320" s="21">
        <v>46026</v>
      </c>
      <c r="C1320" t="s">
        <v>325</v>
      </c>
      <c r="D1320">
        <v>15</v>
      </c>
      <c r="E1320" t="s">
        <v>325</v>
      </c>
      <c r="F1320" s="21">
        <v>37350</v>
      </c>
      <c r="G1320" s="24" t="s">
        <v>276</v>
      </c>
      <c r="H1320" t="s">
        <v>319</v>
      </c>
      <c r="I1320" t="s">
        <v>200</v>
      </c>
      <c r="J1320" t="s">
        <v>71</v>
      </c>
      <c r="K1320" t="s">
        <v>79</v>
      </c>
    </row>
    <row r="1321" spans="1:11" x14ac:dyDescent="0.2">
      <c r="A1321">
        <v>7</v>
      </c>
      <c r="B1321" s="21">
        <v>46026</v>
      </c>
      <c r="C1321" t="s">
        <v>325</v>
      </c>
      <c r="D1321">
        <v>15</v>
      </c>
      <c r="E1321" t="s">
        <v>325</v>
      </c>
      <c r="F1321" s="21">
        <v>37350</v>
      </c>
      <c r="G1321" s="24" t="s">
        <v>276</v>
      </c>
      <c r="H1321" t="s">
        <v>292</v>
      </c>
      <c r="I1321" t="s">
        <v>311</v>
      </c>
      <c r="J1321" t="s">
        <v>64</v>
      </c>
      <c r="K1321" t="s">
        <v>79</v>
      </c>
    </row>
    <row r="1322" spans="1:11" x14ac:dyDescent="0.2">
      <c r="A1322">
        <v>7</v>
      </c>
      <c r="B1322" s="21">
        <v>46026</v>
      </c>
      <c r="C1322" t="s">
        <v>325</v>
      </c>
      <c r="D1322">
        <v>15</v>
      </c>
      <c r="E1322" t="s">
        <v>325</v>
      </c>
      <c r="F1322" s="21">
        <v>37350</v>
      </c>
      <c r="G1322" s="24" t="s">
        <v>276</v>
      </c>
      <c r="H1322" t="s">
        <v>290</v>
      </c>
      <c r="I1322" t="s">
        <v>30</v>
      </c>
      <c r="J1322" t="s">
        <v>71</v>
      </c>
      <c r="K1322" t="s">
        <v>65</v>
      </c>
    </row>
    <row r="1323" spans="1:11" x14ac:dyDescent="0.2">
      <c r="A1323">
        <v>7</v>
      </c>
      <c r="B1323" s="21">
        <v>46026</v>
      </c>
      <c r="C1323" t="s">
        <v>325</v>
      </c>
      <c r="D1323">
        <v>15</v>
      </c>
      <c r="E1323" t="s">
        <v>325</v>
      </c>
      <c r="F1323" s="21">
        <v>37350</v>
      </c>
      <c r="G1323" s="24" t="s">
        <v>276</v>
      </c>
      <c r="H1323" t="s">
        <v>284</v>
      </c>
      <c r="I1323" t="s">
        <v>6</v>
      </c>
      <c r="J1323" t="s">
        <v>64</v>
      </c>
      <c r="K1323" t="s">
        <v>74</v>
      </c>
    </row>
    <row r="1324" spans="1:11" x14ac:dyDescent="0.2">
      <c r="A1324">
        <v>7</v>
      </c>
      <c r="B1324" s="21">
        <v>46026</v>
      </c>
      <c r="C1324" t="s">
        <v>325</v>
      </c>
      <c r="D1324">
        <v>15</v>
      </c>
      <c r="E1324" t="s">
        <v>325</v>
      </c>
      <c r="F1324" s="21">
        <v>37350</v>
      </c>
      <c r="G1324" s="24" t="s">
        <v>276</v>
      </c>
      <c r="H1324" t="s">
        <v>294</v>
      </c>
      <c r="I1324" t="s">
        <v>30</v>
      </c>
      <c r="J1324" t="s">
        <v>64</v>
      </c>
      <c r="K1324" t="s">
        <v>74</v>
      </c>
    </row>
    <row r="1325" spans="1:11" x14ac:dyDescent="0.2">
      <c r="A1325">
        <v>7</v>
      </c>
      <c r="B1325" s="21">
        <v>46026</v>
      </c>
      <c r="C1325" t="s">
        <v>325</v>
      </c>
      <c r="D1325">
        <v>15</v>
      </c>
      <c r="E1325" t="s">
        <v>325</v>
      </c>
      <c r="F1325" s="21">
        <v>37350</v>
      </c>
      <c r="G1325" s="24" t="s">
        <v>276</v>
      </c>
      <c r="H1325" t="s">
        <v>290</v>
      </c>
      <c r="I1325" t="s">
        <v>6</v>
      </c>
      <c r="J1325" t="s">
        <v>66</v>
      </c>
      <c r="K1325" t="s">
        <v>74</v>
      </c>
    </row>
    <row r="1326" spans="1:11" x14ac:dyDescent="0.2">
      <c r="A1326">
        <v>7</v>
      </c>
      <c r="B1326" s="21">
        <v>46026</v>
      </c>
      <c r="C1326" t="s">
        <v>325</v>
      </c>
      <c r="D1326">
        <v>15</v>
      </c>
      <c r="E1326" t="s">
        <v>325</v>
      </c>
      <c r="F1326" s="21">
        <v>37350</v>
      </c>
      <c r="G1326" s="24" t="s">
        <v>276</v>
      </c>
      <c r="H1326" t="s">
        <v>319</v>
      </c>
      <c r="I1326" t="s">
        <v>30</v>
      </c>
      <c r="J1326" t="s">
        <v>71</v>
      </c>
      <c r="K1326" t="s">
        <v>74</v>
      </c>
    </row>
    <row r="1327" spans="1:11" x14ac:dyDescent="0.2">
      <c r="A1327">
        <v>7</v>
      </c>
      <c r="B1327" s="21">
        <v>46026</v>
      </c>
      <c r="C1327" t="s">
        <v>325</v>
      </c>
      <c r="D1327">
        <v>15</v>
      </c>
      <c r="E1327" t="s">
        <v>325</v>
      </c>
      <c r="F1327" s="21">
        <v>37350</v>
      </c>
      <c r="G1327" s="24" t="s">
        <v>276</v>
      </c>
      <c r="H1327" t="s">
        <v>319</v>
      </c>
      <c r="I1327" t="s">
        <v>38</v>
      </c>
      <c r="J1327" t="s">
        <v>66</v>
      </c>
      <c r="K1327" t="s">
        <v>74</v>
      </c>
    </row>
    <row r="1328" spans="1:11" x14ac:dyDescent="0.2">
      <c r="A1328">
        <v>7</v>
      </c>
      <c r="B1328" s="21">
        <v>46026</v>
      </c>
      <c r="C1328" t="s">
        <v>325</v>
      </c>
      <c r="D1328">
        <v>15</v>
      </c>
      <c r="E1328" t="s">
        <v>325</v>
      </c>
      <c r="F1328" s="21">
        <v>37350</v>
      </c>
      <c r="G1328" s="24" t="s">
        <v>276</v>
      </c>
      <c r="H1328" t="s">
        <v>319</v>
      </c>
      <c r="I1328" t="s">
        <v>200</v>
      </c>
      <c r="J1328" t="s">
        <v>68</v>
      </c>
      <c r="K1328" t="s">
        <v>74</v>
      </c>
    </row>
    <row r="1329" spans="1:11" x14ac:dyDescent="0.2">
      <c r="A1329">
        <v>7</v>
      </c>
      <c r="B1329" s="21">
        <v>46026</v>
      </c>
      <c r="C1329" t="s">
        <v>325</v>
      </c>
      <c r="D1329">
        <v>15</v>
      </c>
      <c r="E1329" t="s">
        <v>325</v>
      </c>
      <c r="F1329" s="21">
        <v>37350</v>
      </c>
      <c r="G1329" s="24" t="s">
        <v>276</v>
      </c>
      <c r="H1329" t="s">
        <v>305</v>
      </c>
      <c r="I1329" t="s">
        <v>311</v>
      </c>
      <c r="J1329" t="s">
        <v>66</v>
      </c>
      <c r="K1329" t="s">
        <v>72</v>
      </c>
    </row>
    <row r="1330" spans="1:11" x14ac:dyDescent="0.2">
      <c r="A1330">
        <v>7</v>
      </c>
      <c r="B1330" s="21">
        <v>46026</v>
      </c>
      <c r="C1330" t="s">
        <v>325</v>
      </c>
      <c r="D1330">
        <v>15</v>
      </c>
      <c r="E1330" t="s">
        <v>325</v>
      </c>
      <c r="F1330" s="21">
        <v>37350</v>
      </c>
      <c r="G1330" s="24" t="s">
        <v>276</v>
      </c>
      <c r="H1330" t="s">
        <v>305</v>
      </c>
      <c r="I1330" t="s">
        <v>6</v>
      </c>
      <c r="J1330" t="s">
        <v>66</v>
      </c>
      <c r="K1330" t="s">
        <v>72</v>
      </c>
    </row>
    <row r="1331" spans="1:11" x14ac:dyDescent="0.2">
      <c r="A1331">
        <v>7</v>
      </c>
      <c r="B1331" s="21">
        <v>46026</v>
      </c>
      <c r="C1331" t="s">
        <v>325</v>
      </c>
      <c r="D1331">
        <v>15</v>
      </c>
      <c r="E1331" t="s">
        <v>325</v>
      </c>
      <c r="F1331" s="21">
        <v>37350</v>
      </c>
      <c r="G1331" s="24" t="s">
        <v>276</v>
      </c>
      <c r="H1331" t="s">
        <v>285</v>
      </c>
      <c r="I1331" t="s">
        <v>12</v>
      </c>
      <c r="J1331" t="s">
        <v>64</v>
      </c>
      <c r="K1331" t="s">
        <v>79</v>
      </c>
    </row>
    <row r="1332" spans="1:11" x14ac:dyDescent="0.2">
      <c r="A1332">
        <v>7</v>
      </c>
      <c r="B1332" s="21">
        <v>46026</v>
      </c>
      <c r="C1332" t="s">
        <v>325</v>
      </c>
      <c r="D1332">
        <v>15</v>
      </c>
      <c r="E1332" t="s">
        <v>325</v>
      </c>
      <c r="F1332" s="21">
        <v>37350</v>
      </c>
      <c r="G1332" s="24" t="s">
        <v>276</v>
      </c>
      <c r="H1332" t="s">
        <v>292</v>
      </c>
      <c r="I1332" t="s">
        <v>199</v>
      </c>
      <c r="J1332" t="s">
        <v>71</v>
      </c>
      <c r="K1332" t="s">
        <v>75</v>
      </c>
    </row>
    <row r="1333" spans="1:11" x14ac:dyDescent="0.2">
      <c r="A1333">
        <v>7</v>
      </c>
      <c r="B1333" s="21">
        <v>46026</v>
      </c>
      <c r="C1333" t="s">
        <v>325</v>
      </c>
      <c r="D1333">
        <v>15</v>
      </c>
      <c r="E1333" t="s">
        <v>325</v>
      </c>
      <c r="F1333" s="21">
        <v>37350</v>
      </c>
      <c r="G1333" s="24" t="s">
        <v>276</v>
      </c>
      <c r="H1333" t="s">
        <v>292</v>
      </c>
      <c r="I1333" t="s">
        <v>6</v>
      </c>
      <c r="J1333" t="s">
        <v>66</v>
      </c>
      <c r="K1333" t="s">
        <v>75</v>
      </c>
    </row>
    <row r="1334" spans="1:11" x14ac:dyDescent="0.2">
      <c r="A1334">
        <v>7</v>
      </c>
      <c r="B1334" s="21">
        <v>46026</v>
      </c>
      <c r="C1334" t="s">
        <v>325</v>
      </c>
      <c r="D1334">
        <v>15</v>
      </c>
      <c r="E1334" t="s">
        <v>325</v>
      </c>
      <c r="F1334" s="21">
        <v>37350</v>
      </c>
      <c r="G1334" s="24" t="s">
        <v>276</v>
      </c>
      <c r="H1334" t="s">
        <v>319</v>
      </c>
      <c r="I1334" t="s">
        <v>200</v>
      </c>
      <c r="J1334" t="s">
        <v>71</v>
      </c>
      <c r="K1334" t="s">
        <v>72</v>
      </c>
    </row>
    <row r="1335" spans="1:11" x14ac:dyDescent="0.2">
      <c r="A1335">
        <v>7</v>
      </c>
      <c r="B1335" s="21">
        <v>46026</v>
      </c>
      <c r="C1335" t="s">
        <v>325</v>
      </c>
      <c r="D1335">
        <v>15</v>
      </c>
      <c r="E1335" t="s">
        <v>325</v>
      </c>
      <c r="F1335" s="21">
        <v>37350</v>
      </c>
      <c r="G1335" s="24" t="s">
        <v>276</v>
      </c>
      <c r="H1335" t="s">
        <v>294</v>
      </c>
      <c r="I1335" t="s">
        <v>30</v>
      </c>
      <c r="J1335" t="s">
        <v>71</v>
      </c>
      <c r="K1335" t="s">
        <v>74</v>
      </c>
    </row>
    <row r="1336" spans="1:11" x14ac:dyDescent="0.2">
      <c r="A1336">
        <v>7</v>
      </c>
      <c r="B1336" s="21">
        <v>46026</v>
      </c>
      <c r="C1336" t="s">
        <v>325</v>
      </c>
      <c r="D1336">
        <v>15</v>
      </c>
      <c r="E1336" t="s">
        <v>325</v>
      </c>
      <c r="F1336" s="21">
        <v>37350</v>
      </c>
      <c r="G1336" s="24" t="s">
        <v>276</v>
      </c>
      <c r="H1336" t="s">
        <v>305</v>
      </c>
      <c r="I1336" t="s">
        <v>200</v>
      </c>
      <c r="J1336" t="s">
        <v>71</v>
      </c>
      <c r="K1336" t="s">
        <v>72</v>
      </c>
    </row>
    <row r="1337" spans="1:11" x14ac:dyDescent="0.2">
      <c r="A1337">
        <v>7</v>
      </c>
      <c r="B1337" s="21">
        <v>46026</v>
      </c>
      <c r="C1337" t="s">
        <v>325</v>
      </c>
      <c r="D1337">
        <v>15</v>
      </c>
      <c r="E1337" t="s">
        <v>325</v>
      </c>
      <c r="F1337" s="21">
        <v>37350</v>
      </c>
      <c r="G1337" s="24" t="s">
        <v>276</v>
      </c>
      <c r="H1337" t="s">
        <v>285</v>
      </c>
      <c r="I1337" t="s">
        <v>199</v>
      </c>
      <c r="J1337" t="s">
        <v>71</v>
      </c>
      <c r="K1337" t="s">
        <v>73</v>
      </c>
    </row>
    <row r="1338" spans="1:11" x14ac:dyDescent="0.2">
      <c r="A1338">
        <v>7</v>
      </c>
      <c r="B1338" s="21">
        <v>46026</v>
      </c>
      <c r="C1338" t="s">
        <v>325</v>
      </c>
      <c r="D1338">
        <v>15</v>
      </c>
      <c r="E1338" t="s">
        <v>325</v>
      </c>
      <c r="F1338" s="21">
        <v>37350</v>
      </c>
      <c r="G1338" s="24" t="s">
        <v>276</v>
      </c>
      <c r="H1338" t="s">
        <v>285</v>
      </c>
      <c r="I1338" t="s">
        <v>199</v>
      </c>
      <c r="J1338" t="s">
        <v>71</v>
      </c>
      <c r="K1338" t="s">
        <v>69</v>
      </c>
    </row>
    <row r="1339" spans="1:11" x14ac:dyDescent="0.2">
      <c r="A1339">
        <v>7</v>
      </c>
      <c r="B1339" s="21">
        <v>46026</v>
      </c>
      <c r="C1339" t="s">
        <v>325</v>
      </c>
      <c r="D1339">
        <v>15</v>
      </c>
      <c r="E1339" t="s">
        <v>325</v>
      </c>
      <c r="F1339" s="21">
        <v>37350</v>
      </c>
      <c r="G1339" s="24" t="s">
        <v>276</v>
      </c>
      <c r="H1339" t="s">
        <v>284</v>
      </c>
      <c r="I1339" t="s">
        <v>200</v>
      </c>
      <c r="J1339" t="s">
        <v>71</v>
      </c>
      <c r="K1339" t="s">
        <v>73</v>
      </c>
    </row>
    <row r="1340" spans="1:11" x14ac:dyDescent="0.2">
      <c r="A1340">
        <v>7</v>
      </c>
      <c r="B1340" s="21">
        <v>46026</v>
      </c>
      <c r="C1340" t="s">
        <v>325</v>
      </c>
      <c r="D1340">
        <v>15</v>
      </c>
      <c r="E1340" t="s">
        <v>325</v>
      </c>
      <c r="F1340" s="21">
        <v>37350</v>
      </c>
      <c r="G1340" s="24" t="s">
        <v>276</v>
      </c>
      <c r="H1340" t="s">
        <v>294</v>
      </c>
      <c r="I1340" t="s">
        <v>311</v>
      </c>
      <c r="J1340" t="s">
        <v>71</v>
      </c>
      <c r="K1340" t="s">
        <v>73</v>
      </c>
    </row>
    <row r="1341" spans="1:11" x14ac:dyDescent="0.2">
      <c r="A1341">
        <v>7</v>
      </c>
      <c r="B1341" s="21">
        <v>46026</v>
      </c>
      <c r="C1341" t="s">
        <v>325</v>
      </c>
      <c r="D1341">
        <v>15</v>
      </c>
      <c r="E1341" t="s">
        <v>325</v>
      </c>
      <c r="F1341" s="21">
        <v>37350</v>
      </c>
      <c r="G1341" s="24" t="s">
        <v>276</v>
      </c>
      <c r="H1341" t="s">
        <v>285</v>
      </c>
      <c r="I1341" t="s">
        <v>200</v>
      </c>
      <c r="J1341" t="s">
        <v>71</v>
      </c>
      <c r="K1341" t="s">
        <v>75</v>
      </c>
    </row>
    <row r="1342" spans="1:11" x14ac:dyDescent="0.2">
      <c r="A1342">
        <v>7</v>
      </c>
      <c r="B1342" s="21">
        <v>46026</v>
      </c>
      <c r="C1342" t="s">
        <v>325</v>
      </c>
      <c r="D1342">
        <v>15</v>
      </c>
      <c r="E1342" t="s">
        <v>325</v>
      </c>
      <c r="F1342" s="21">
        <v>37350</v>
      </c>
      <c r="G1342" s="24" t="s">
        <v>276</v>
      </c>
      <c r="H1342" t="s">
        <v>292</v>
      </c>
      <c r="I1342" t="s">
        <v>14</v>
      </c>
      <c r="J1342" t="s">
        <v>80</v>
      </c>
      <c r="K1342" t="s">
        <v>75</v>
      </c>
    </row>
    <row r="1343" spans="1:11" x14ac:dyDescent="0.2">
      <c r="A1343">
        <v>7</v>
      </c>
      <c r="B1343" s="21">
        <v>46026</v>
      </c>
      <c r="C1343" t="s">
        <v>325</v>
      </c>
      <c r="D1343">
        <v>15</v>
      </c>
      <c r="E1343" t="s">
        <v>325</v>
      </c>
      <c r="F1343" s="21">
        <v>37350</v>
      </c>
      <c r="G1343" s="24" t="s">
        <v>276</v>
      </c>
      <c r="H1343" t="s">
        <v>294</v>
      </c>
      <c r="I1343" t="s">
        <v>200</v>
      </c>
      <c r="J1343" t="s">
        <v>71</v>
      </c>
      <c r="K1343" t="s">
        <v>78</v>
      </c>
    </row>
    <row r="1344" spans="1:11" x14ac:dyDescent="0.2">
      <c r="A1344">
        <v>7</v>
      </c>
      <c r="B1344" s="21">
        <v>46026</v>
      </c>
      <c r="C1344" t="s">
        <v>325</v>
      </c>
      <c r="D1344">
        <v>15</v>
      </c>
      <c r="E1344" t="s">
        <v>325</v>
      </c>
      <c r="F1344" s="21">
        <v>37350</v>
      </c>
      <c r="G1344" s="24" t="s">
        <v>276</v>
      </c>
      <c r="H1344" t="s">
        <v>294</v>
      </c>
      <c r="I1344" t="s">
        <v>30</v>
      </c>
      <c r="J1344" t="s">
        <v>71</v>
      </c>
      <c r="K1344" t="s">
        <v>78</v>
      </c>
    </row>
    <row r="1345" spans="1:11" x14ac:dyDescent="0.2">
      <c r="A1345">
        <v>7</v>
      </c>
      <c r="B1345" s="21">
        <v>46026</v>
      </c>
      <c r="C1345" t="s">
        <v>325</v>
      </c>
      <c r="D1345">
        <v>15</v>
      </c>
      <c r="E1345" t="s">
        <v>325</v>
      </c>
      <c r="F1345" s="21">
        <v>37350</v>
      </c>
      <c r="G1345" s="24" t="s">
        <v>276</v>
      </c>
      <c r="H1345" t="s">
        <v>295</v>
      </c>
      <c r="I1345" t="s">
        <v>200</v>
      </c>
      <c r="J1345" t="s">
        <v>71</v>
      </c>
      <c r="K1345" t="s">
        <v>65</v>
      </c>
    </row>
    <row r="1346" spans="1:11" x14ac:dyDescent="0.2">
      <c r="A1346">
        <v>7</v>
      </c>
      <c r="B1346" s="21">
        <v>46026</v>
      </c>
      <c r="C1346" t="s">
        <v>325</v>
      </c>
      <c r="D1346">
        <v>15</v>
      </c>
      <c r="E1346" t="s">
        <v>325</v>
      </c>
      <c r="F1346" s="21">
        <v>37350</v>
      </c>
      <c r="G1346" s="24" t="s">
        <v>276</v>
      </c>
    </row>
    <row r="1347" spans="1:11" x14ac:dyDescent="0.2">
      <c r="A1347">
        <v>7</v>
      </c>
      <c r="B1347" s="21">
        <v>46026</v>
      </c>
      <c r="C1347" t="s">
        <v>325</v>
      </c>
      <c r="D1347">
        <v>15</v>
      </c>
      <c r="E1347" t="s">
        <v>325</v>
      </c>
      <c r="F1347" s="21">
        <v>37350</v>
      </c>
      <c r="G1347" s="24" t="s">
        <v>276</v>
      </c>
    </row>
    <row r="1348" spans="1:11" x14ac:dyDescent="0.2">
      <c r="A1348">
        <v>8</v>
      </c>
      <c r="B1348" s="21">
        <v>46033</v>
      </c>
      <c r="C1348" t="s">
        <v>328</v>
      </c>
      <c r="D1348">
        <v>15</v>
      </c>
      <c r="E1348" t="s">
        <v>323</v>
      </c>
      <c r="F1348" s="21">
        <v>37350</v>
      </c>
      <c r="G1348" s="24" t="s">
        <v>307</v>
      </c>
      <c r="H1348" t="s">
        <v>294</v>
      </c>
      <c r="I1348" t="s">
        <v>329</v>
      </c>
      <c r="J1348" t="s">
        <v>330</v>
      </c>
      <c r="K1348" t="s">
        <v>331</v>
      </c>
    </row>
    <row r="1349" spans="1:11" x14ac:dyDescent="0.2">
      <c r="A1349">
        <v>8</v>
      </c>
      <c r="B1349" s="21">
        <v>46033</v>
      </c>
      <c r="C1349" t="s">
        <v>328</v>
      </c>
      <c r="D1349">
        <v>15</v>
      </c>
      <c r="E1349" t="s">
        <v>323</v>
      </c>
      <c r="F1349" s="21">
        <v>37350</v>
      </c>
      <c r="G1349" s="24" t="s">
        <v>307</v>
      </c>
      <c r="H1349" t="s">
        <v>294</v>
      </c>
      <c r="I1349" t="s">
        <v>329</v>
      </c>
      <c r="J1349" t="s">
        <v>330</v>
      </c>
      <c r="K1349" t="s">
        <v>331</v>
      </c>
    </row>
    <row r="1350" spans="1:11" x14ac:dyDescent="0.2">
      <c r="A1350">
        <v>8</v>
      </c>
      <c r="B1350" s="21">
        <v>46033</v>
      </c>
      <c r="C1350" t="s">
        <v>328</v>
      </c>
      <c r="D1350">
        <v>15</v>
      </c>
      <c r="E1350" t="s">
        <v>323</v>
      </c>
      <c r="F1350" s="21">
        <v>37350</v>
      </c>
      <c r="G1350" s="24" t="s">
        <v>307</v>
      </c>
      <c r="H1350" t="s">
        <v>294</v>
      </c>
      <c r="I1350" t="s">
        <v>329</v>
      </c>
      <c r="J1350" t="s">
        <v>330</v>
      </c>
      <c r="K1350" t="s">
        <v>331</v>
      </c>
    </row>
    <row r="1351" spans="1:11" x14ac:dyDescent="0.2">
      <c r="A1351">
        <v>8</v>
      </c>
      <c r="B1351" s="21">
        <v>46033</v>
      </c>
      <c r="C1351" t="s">
        <v>328</v>
      </c>
      <c r="D1351">
        <v>15</v>
      </c>
      <c r="E1351" t="s">
        <v>323</v>
      </c>
      <c r="F1351" s="21">
        <v>37350</v>
      </c>
      <c r="G1351" s="24" t="s">
        <v>307</v>
      </c>
      <c r="H1351" t="s">
        <v>306</v>
      </c>
      <c r="I1351" t="s">
        <v>329</v>
      </c>
      <c r="J1351" t="s">
        <v>332</v>
      </c>
      <c r="K1351" t="s">
        <v>333</v>
      </c>
    </row>
    <row r="1352" spans="1:11" x14ac:dyDescent="0.2">
      <c r="A1352">
        <v>8</v>
      </c>
      <c r="B1352" s="21">
        <v>46033</v>
      </c>
      <c r="C1352" t="s">
        <v>328</v>
      </c>
      <c r="D1352">
        <v>15</v>
      </c>
      <c r="E1352" t="s">
        <v>323</v>
      </c>
      <c r="F1352" s="21">
        <v>37350</v>
      </c>
      <c r="G1352" s="24" t="s">
        <v>307</v>
      </c>
      <c r="H1352" t="s">
        <v>283</v>
      </c>
      <c r="I1352" t="s">
        <v>334</v>
      </c>
      <c r="J1352" t="s">
        <v>332</v>
      </c>
      <c r="K1352" t="s">
        <v>335</v>
      </c>
    </row>
    <row r="1353" spans="1:11" x14ac:dyDescent="0.2">
      <c r="A1353">
        <v>8</v>
      </c>
      <c r="B1353" s="21">
        <v>46033</v>
      </c>
      <c r="C1353" t="s">
        <v>328</v>
      </c>
      <c r="D1353">
        <v>15</v>
      </c>
      <c r="E1353" t="s">
        <v>323</v>
      </c>
      <c r="F1353" s="21">
        <v>37350</v>
      </c>
      <c r="G1353" s="24" t="s">
        <v>307</v>
      </c>
      <c r="H1353" t="s">
        <v>293</v>
      </c>
      <c r="I1353" t="s">
        <v>334</v>
      </c>
      <c r="K1353" t="s">
        <v>336</v>
      </c>
    </row>
    <row r="1354" spans="1:11" x14ac:dyDescent="0.2">
      <c r="A1354">
        <v>8</v>
      </c>
      <c r="B1354" s="21">
        <v>46033</v>
      </c>
      <c r="C1354" t="s">
        <v>328</v>
      </c>
      <c r="D1354">
        <v>15</v>
      </c>
      <c r="E1354" t="s">
        <v>323</v>
      </c>
      <c r="F1354" s="21">
        <v>37350</v>
      </c>
      <c r="G1354" s="24" t="s">
        <v>307</v>
      </c>
      <c r="H1354" t="s">
        <v>294</v>
      </c>
      <c r="I1354" t="s">
        <v>329</v>
      </c>
      <c r="J1354" t="s">
        <v>330</v>
      </c>
      <c r="K1354" t="s">
        <v>331</v>
      </c>
    </row>
    <row r="1355" spans="1:11" x14ac:dyDescent="0.2">
      <c r="A1355">
        <v>8</v>
      </c>
      <c r="B1355" s="21">
        <v>46033</v>
      </c>
      <c r="C1355" t="s">
        <v>328</v>
      </c>
      <c r="D1355">
        <v>15</v>
      </c>
      <c r="E1355" t="s">
        <v>323</v>
      </c>
      <c r="F1355" s="21">
        <v>37350</v>
      </c>
      <c r="G1355" s="24" t="s">
        <v>307</v>
      </c>
      <c r="H1355" t="s">
        <v>290</v>
      </c>
      <c r="I1355" t="s">
        <v>329</v>
      </c>
      <c r="J1355" t="s">
        <v>330</v>
      </c>
      <c r="K1355" t="s">
        <v>331</v>
      </c>
    </row>
    <row r="1356" spans="1:11" x14ac:dyDescent="0.2">
      <c r="A1356">
        <v>8</v>
      </c>
      <c r="B1356" s="21">
        <v>46033</v>
      </c>
      <c r="C1356" t="s">
        <v>328</v>
      </c>
      <c r="D1356">
        <v>15</v>
      </c>
      <c r="E1356" t="s">
        <v>323</v>
      </c>
      <c r="F1356" s="21">
        <v>37350</v>
      </c>
      <c r="G1356" s="24" t="s">
        <v>307</v>
      </c>
      <c r="H1356" t="s">
        <v>306</v>
      </c>
      <c r="I1356" t="s">
        <v>337</v>
      </c>
      <c r="J1356" t="s">
        <v>330</v>
      </c>
      <c r="K1356" t="s">
        <v>333</v>
      </c>
    </row>
    <row r="1357" spans="1:11" x14ac:dyDescent="0.2">
      <c r="A1357">
        <v>8</v>
      </c>
      <c r="B1357" s="21">
        <v>46033</v>
      </c>
      <c r="C1357" t="s">
        <v>328</v>
      </c>
      <c r="D1357">
        <v>15</v>
      </c>
      <c r="E1357" t="s">
        <v>323</v>
      </c>
      <c r="F1357" s="21">
        <v>37350</v>
      </c>
      <c r="G1357" s="24" t="s">
        <v>307</v>
      </c>
      <c r="H1357" t="s">
        <v>305</v>
      </c>
      <c r="I1357" t="s">
        <v>329</v>
      </c>
      <c r="J1357" t="s">
        <v>330</v>
      </c>
      <c r="K1357" t="s">
        <v>338</v>
      </c>
    </row>
    <row r="1358" spans="1:11" x14ac:dyDescent="0.2">
      <c r="A1358">
        <v>8</v>
      </c>
      <c r="B1358" s="21">
        <v>46033</v>
      </c>
      <c r="C1358" t="s">
        <v>328</v>
      </c>
      <c r="D1358">
        <v>15</v>
      </c>
      <c r="E1358" t="s">
        <v>323</v>
      </c>
      <c r="F1358" s="21">
        <v>37350</v>
      </c>
      <c r="G1358" s="24" t="s">
        <v>307</v>
      </c>
      <c r="H1358" t="s">
        <v>292</v>
      </c>
      <c r="I1358" t="s">
        <v>339</v>
      </c>
      <c r="J1358" t="s">
        <v>330</v>
      </c>
      <c r="K1358" t="s">
        <v>340</v>
      </c>
    </row>
    <row r="1359" spans="1:11" x14ac:dyDescent="0.2">
      <c r="A1359">
        <v>8</v>
      </c>
      <c r="B1359" s="21">
        <v>46033</v>
      </c>
      <c r="C1359" t="s">
        <v>328</v>
      </c>
      <c r="D1359">
        <v>15</v>
      </c>
      <c r="E1359" t="s">
        <v>323</v>
      </c>
      <c r="F1359" s="21">
        <v>37350</v>
      </c>
      <c r="G1359" s="24" t="s">
        <v>307</v>
      </c>
      <c r="H1359" t="s">
        <v>293</v>
      </c>
      <c r="I1359" t="s">
        <v>329</v>
      </c>
      <c r="J1359" t="s">
        <v>330</v>
      </c>
      <c r="K1359" t="s">
        <v>331</v>
      </c>
    </row>
    <row r="1360" spans="1:11" x14ac:dyDescent="0.2">
      <c r="A1360">
        <v>8</v>
      </c>
      <c r="B1360" s="21">
        <v>46033</v>
      </c>
      <c r="C1360" t="s">
        <v>328</v>
      </c>
      <c r="D1360">
        <v>15</v>
      </c>
      <c r="E1360" t="s">
        <v>323</v>
      </c>
      <c r="F1360" s="21">
        <v>37350</v>
      </c>
      <c r="G1360" s="24" t="s">
        <v>307</v>
      </c>
      <c r="H1360" t="s">
        <v>290</v>
      </c>
      <c r="I1360" t="s">
        <v>341</v>
      </c>
      <c r="J1360" t="s">
        <v>330</v>
      </c>
      <c r="K1360" t="s">
        <v>342</v>
      </c>
    </row>
    <row r="1361" spans="1:11" x14ac:dyDescent="0.2">
      <c r="A1361">
        <v>8</v>
      </c>
      <c r="B1361" s="21">
        <v>46033</v>
      </c>
      <c r="C1361" t="s">
        <v>328</v>
      </c>
      <c r="D1361">
        <v>15</v>
      </c>
      <c r="E1361" t="s">
        <v>323</v>
      </c>
      <c r="F1361" s="21">
        <v>37350</v>
      </c>
      <c r="G1361" s="24" t="s">
        <v>307</v>
      </c>
      <c r="H1361" t="s">
        <v>305</v>
      </c>
      <c r="I1361" t="s">
        <v>329</v>
      </c>
      <c r="J1361" t="s">
        <v>330</v>
      </c>
      <c r="K1361" t="s">
        <v>338</v>
      </c>
    </row>
    <row r="1362" spans="1:11" x14ac:dyDescent="0.2">
      <c r="A1362">
        <v>8</v>
      </c>
      <c r="B1362" s="21">
        <v>46033</v>
      </c>
      <c r="C1362" t="s">
        <v>328</v>
      </c>
      <c r="D1362">
        <v>15</v>
      </c>
      <c r="E1362" t="s">
        <v>323</v>
      </c>
      <c r="F1362" s="21">
        <v>37350</v>
      </c>
      <c r="G1362" s="24" t="s">
        <v>307</v>
      </c>
      <c r="H1362" t="s">
        <v>294</v>
      </c>
      <c r="I1362" t="s">
        <v>337</v>
      </c>
      <c r="J1362" t="s">
        <v>332</v>
      </c>
      <c r="K1362" t="s">
        <v>342</v>
      </c>
    </row>
    <row r="1363" spans="1:11" x14ac:dyDescent="0.2">
      <c r="A1363">
        <v>8</v>
      </c>
      <c r="B1363" s="21">
        <v>46033</v>
      </c>
      <c r="C1363" t="s">
        <v>328</v>
      </c>
      <c r="D1363">
        <v>15</v>
      </c>
      <c r="E1363" t="s">
        <v>323</v>
      </c>
      <c r="F1363" s="21">
        <v>37350</v>
      </c>
      <c r="G1363" s="24" t="s">
        <v>307</v>
      </c>
      <c r="H1363" t="s">
        <v>296</v>
      </c>
      <c r="I1363" t="s">
        <v>339</v>
      </c>
      <c r="J1363" t="s">
        <v>332</v>
      </c>
      <c r="K1363" t="s">
        <v>343</v>
      </c>
    </row>
    <row r="1364" spans="1:11" x14ac:dyDescent="0.2">
      <c r="A1364">
        <v>8</v>
      </c>
      <c r="B1364" s="21">
        <v>46033</v>
      </c>
      <c r="C1364" t="s">
        <v>328</v>
      </c>
      <c r="D1364">
        <v>15</v>
      </c>
      <c r="E1364" t="s">
        <v>323</v>
      </c>
      <c r="F1364" s="21">
        <v>37350</v>
      </c>
      <c r="G1364" s="24" t="s">
        <v>307</v>
      </c>
      <c r="H1364" t="s">
        <v>294</v>
      </c>
      <c r="I1364" t="s">
        <v>329</v>
      </c>
      <c r="J1364" t="s">
        <v>330</v>
      </c>
      <c r="K1364" t="s">
        <v>342</v>
      </c>
    </row>
    <row r="1365" spans="1:11" x14ac:dyDescent="0.2">
      <c r="A1365">
        <v>8</v>
      </c>
      <c r="B1365" s="21">
        <v>46033</v>
      </c>
      <c r="C1365" t="s">
        <v>328</v>
      </c>
      <c r="D1365">
        <v>15</v>
      </c>
      <c r="E1365" t="s">
        <v>323</v>
      </c>
      <c r="F1365" s="21">
        <v>37350</v>
      </c>
      <c r="G1365" s="24" t="s">
        <v>307</v>
      </c>
      <c r="H1365" t="s">
        <v>294</v>
      </c>
      <c r="I1365" t="s">
        <v>329</v>
      </c>
      <c r="J1365" t="s">
        <v>330</v>
      </c>
      <c r="K1365" t="s">
        <v>342</v>
      </c>
    </row>
    <row r="1366" spans="1:11" x14ac:dyDescent="0.2">
      <c r="A1366">
        <v>8</v>
      </c>
      <c r="B1366" s="21">
        <v>46033</v>
      </c>
      <c r="C1366" t="s">
        <v>328</v>
      </c>
      <c r="D1366">
        <v>15</v>
      </c>
      <c r="E1366" t="s">
        <v>323</v>
      </c>
      <c r="F1366" s="21">
        <v>37350</v>
      </c>
      <c r="G1366" s="24" t="s">
        <v>307</v>
      </c>
      <c r="H1366" t="s">
        <v>294</v>
      </c>
      <c r="I1366" t="s">
        <v>329</v>
      </c>
      <c r="J1366" t="s">
        <v>330</v>
      </c>
      <c r="K1366" t="s">
        <v>342</v>
      </c>
    </row>
    <row r="1367" spans="1:11" x14ac:dyDescent="0.2">
      <c r="A1367">
        <v>8</v>
      </c>
      <c r="B1367" s="21">
        <v>46033</v>
      </c>
      <c r="C1367" t="s">
        <v>328</v>
      </c>
      <c r="D1367">
        <v>15</v>
      </c>
      <c r="E1367" t="s">
        <v>323</v>
      </c>
      <c r="F1367" s="21">
        <v>37350</v>
      </c>
      <c r="G1367" s="24" t="s">
        <v>307</v>
      </c>
      <c r="H1367" t="s">
        <v>293</v>
      </c>
      <c r="I1367" t="s">
        <v>329</v>
      </c>
      <c r="J1367" t="s">
        <v>330</v>
      </c>
      <c r="K1367" t="s">
        <v>342</v>
      </c>
    </row>
    <row r="1368" spans="1:11" x14ac:dyDescent="0.2">
      <c r="A1368">
        <v>8</v>
      </c>
      <c r="B1368" s="21">
        <v>46033</v>
      </c>
      <c r="C1368" t="s">
        <v>328</v>
      </c>
      <c r="D1368">
        <v>15</v>
      </c>
      <c r="E1368" t="s">
        <v>323</v>
      </c>
      <c r="F1368" s="21">
        <v>37350</v>
      </c>
      <c r="G1368" s="24" t="s">
        <v>307</v>
      </c>
      <c r="H1368" t="s">
        <v>294</v>
      </c>
      <c r="I1368" t="s">
        <v>341</v>
      </c>
      <c r="J1368" t="s">
        <v>330</v>
      </c>
      <c r="K1368" t="s">
        <v>331</v>
      </c>
    </row>
    <row r="1369" spans="1:11" x14ac:dyDescent="0.2">
      <c r="A1369">
        <v>8</v>
      </c>
      <c r="B1369" s="21">
        <v>46033</v>
      </c>
      <c r="C1369" t="s">
        <v>328</v>
      </c>
      <c r="D1369">
        <v>15</v>
      </c>
      <c r="E1369" t="s">
        <v>323</v>
      </c>
      <c r="F1369" s="21">
        <v>37350</v>
      </c>
      <c r="G1369" s="24" t="s">
        <v>307</v>
      </c>
      <c r="H1369" t="s">
        <v>293</v>
      </c>
      <c r="I1369" t="s">
        <v>329</v>
      </c>
      <c r="J1369" t="s">
        <v>330</v>
      </c>
      <c r="K1369" t="s">
        <v>335</v>
      </c>
    </row>
    <row r="1370" spans="1:11" x14ac:dyDescent="0.2">
      <c r="A1370">
        <v>8</v>
      </c>
      <c r="B1370" s="21">
        <v>46033</v>
      </c>
      <c r="C1370" t="s">
        <v>328</v>
      </c>
      <c r="D1370">
        <v>15</v>
      </c>
      <c r="E1370" t="s">
        <v>323</v>
      </c>
      <c r="F1370" s="21">
        <v>37350</v>
      </c>
      <c r="G1370" s="24" t="s">
        <v>307</v>
      </c>
      <c r="H1370" t="s">
        <v>294</v>
      </c>
      <c r="I1370" t="s">
        <v>334</v>
      </c>
      <c r="J1370" t="s">
        <v>330</v>
      </c>
      <c r="K1370" t="s">
        <v>331</v>
      </c>
    </row>
    <row r="1371" spans="1:11" x14ac:dyDescent="0.2">
      <c r="A1371">
        <v>8</v>
      </c>
      <c r="B1371" s="21">
        <v>46033</v>
      </c>
      <c r="C1371" t="s">
        <v>328</v>
      </c>
      <c r="D1371">
        <v>15</v>
      </c>
      <c r="E1371" t="s">
        <v>323</v>
      </c>
      <c r="F1371" s="21">
        <v>37350</v>
      </c>
      <c r="G1371" s="24" t="s">
        <v>307</v>
      </c>
      <c r="H1371" t="s">
        <v>293</v>
      </c>
      <c r="I1371" t="s">
        <v>261</v>
      </c>
      <c r="J1371" t="s">
        <v>332</v>
      </c>
      <c r="K1371" t="s">
        <v>340</v>
      </c>
    </row>
    <row r="1372" spans="1:11" x14ac:dyDescent="0.2">
      <c r="A1372">
        <v>8</v>
      </c>
      <c r="B1372" s="21">
        <v>46033</v>
      </c>
      <c r="C1372" t="s">
        <v>328</v>
      </c>
      <c r="D1372">
        <v>15</v>
      </c>
      <c r="E1372" t="s">
        <v>323</v>
      </c>
      <c r="F1372" s="21">
        <v>37350</v>
      </c>
      <c r="G1372" s="24" t="s">
        <v>307</v>
      </c>
      <c r="H1372" t="s">
        <v>293</v>
      </c>
      <c r="I1372" t="s">
        <v>329</v>
      </c>
      <c r="J1372" t="s">
        <v>332</v>
      </c>
      <c r="K1372" t="s">
        <v>335</v>
      </c>
    </row>
    <row r="1373" spans="1:11" x14ac:dyDescent="0.2">
      <c r="A1373">
        <v>8</v>
      </c>
      <c r="B1373" s="21">
        <v>46033</v>
      </c>
      <c r="C1373" t="s">
        <v>328</v>
      </c>
      <c r="D1373">
        <v>15</v>
      </c>
      <c r="E1373" t="s">
        <v>323</v>
      </c>
      <c r="F1373" s="21">
        <v>37350</v>
      </c>
      <c r="G1373" s="24" t="s">
        <v>307</v>
      </c>
      <c r="H1373" t="s">
        <v>292</v>
      </c>
      <c r="I1373" t="s">
        <v>337</v>
      </c>
      <c r="J1373" t="s">
        <v>330</v>
      </c>
      <c r="K1373" t="s">
        <v>336</v>
      </c>
    </row>
    <row r="1374" spans="1:11" x14ac:dyDescent="0.2">
      <c r="A1374">
        <v>8</v>
      </c>
      <c r="B1374" s="21">
        <v>46033</v>
      </c>
      <c r="C1374" t="s">
        <v>328</v>
      </c>
      <c r="D1374">
        <v>15</v>
      </c>
      <c r="E1374" t="s">
        <v>323</v>
      </c>
      <c r="F1374" s="21">
        <v>37350</v>
      </c>
      <c r="G1374" s="24" t="s">
        <v>307</v>
      </c>
      <c r="H1374" t="s">
        <v>292</v>
      </c>
      <c r="I1374" t="s">
        <v>344</v>
      </c>
      <c r="J1374" t="s">
        <v>332</v>
      </c>
      <c r="K1374" t="s">
        <v>331</v>
      </c>
    </row>
    <row r="1375" spans="1:11" x14ac:dyDescent="0.2">
      <c r="A1375">
        <v>8</v>
      </c>
      <c r="B1375" s="21">
        <v>46033</v>
      </c>
      <c r="C1375" t="s">
        <v>328</v>
      </c>
      <c r="D1375">
        <v>15</v>
      </c>
      <c r="E1375" t="s">
        <v>323</v>
      </c>
      <c r="F1375" s="21">
        <v>37350</v>
      </c>
      <c r="G1375" s="24" t="s">
        <v>309</v>
      </c>
      <c r="H1375" t="s">
        <v>295</v>
      </c>
      <c r="I1375" t="s">
        <v>345</v>
      </c>
      <c r="J1375" t="s">
        <v>332</v>
      </c>
      <c r="K1375" t="s">
        <v>346</v>
      </c>
    </row>
    <row r="1376" spans="1:11" x14ac:dyDescent="0.2">
      <c r="A1376">
        <v>8</v>
      </c>
      <c r="B1376" s="21">
        <v>46033</v>
      </c>
      <c r="C1376" t="s">
        <v>328</v>
      </c>
      <c r="D1376">
        <v>15</v>
      </c>
      <c r="E1376" t="s">
        <v>323</v>
      </c>
      <c r="F1376" s="21">
        <v>37350</v>
      </c>
      <c r="G1376" s="24" t="s">
        <v>309</v>
      </c>
      <c r="H1376" t="s">
        <v>283</v>
      </c>
      <c r="I1376" t="s">
        <v>329</v>
      </c>
      <c r="J1376" t="s">
        <v>332</v>
      </c>
      <c r="K1376" t="s">
        <v>335</v>
      </c>
    </row>
    <row r="1377" spans="1:11" x14ac:dyDescent="0.2">
      <c r="A1377">
        <v>8</v>
      </c>
      <c r="B1377" s="21">
        <v>46033</v>
      </c>
      <c r="C1377" t="s">
        <v>328</v>
      </c>
      <c r="D1377">
        <v>15</v>
      </c>
      <c r="E1377" t="s">
        <v>323</v>
      </c>
      <c r="F1377" s="21">
        <v>37350</v>
      </c>
      <c r="G1377" s="24" t="s">
        <v>309</v>
      </c>
      <c r="H1377" t="s">
        <v>290</v>
      </c>
      <c r="I1377" t="s">
        <v>329</v>
      </c>
      <c r="J1377" t="s">
        <v>330</v>
      </c>
      <c r="K1377" t="s">
        <v>331</v>
      </c>
    </row>
    <row r="1378" spans="1:11" x14ac:dyDescent="0.2">
      <c r="A1378">
        <v>8</v>
      </c>
      <c r="B1378" s="21">
        <v>46033</v>
      </c>
      <c r="C1378" t="s">
        <v>328</v>
      </c>
      <c r="D1378">
        <v>15</v>
      </c>
      <c r="E1378" t="s">
        <v>323</v>
      </c>
      <c r="F1378" s="21">
        <v>37350</v>
      </c>
      <c r="G1378" s="24" t="s">
        <v>309</v>
      </c>
      <c r="H1378" t="s">
        <v>295</v>
      </c>
      <c r="I1378" t="s">
        <v>329</v>
      </c>
      <c r="J1378" t="s">
        <v>330</v>
      </c>
      <c r="K1378" t="s">
        <v>331</v>
      </c>
    </row>
    <row r="1379" spans="1:11" x14ac:dyDescent="0.2">
      <c r="A1379">
        <v>8</v>
      </c>
      <c r="B1379" s="21">
        <v>46033</v>
      </c>
      <c r="C1379" t="s">
        <v>328</v>
      </c>
      <c r="D1379">
        <v>15</v>
      </c>
      <c r="E1379" t="s">
        <v>323</v>
      </c>
      <c r="F1379" s="21">
        <v>37350</v>
      </c>
      <c r="G1379" s="24" t="s">
        <v>309</v>
      </c>
      <c r="H1379" t="s">
        <v>293</v>
      </c>
      <c r="I1379" t="s">
        <v>337</v>
      </c>
      <c r="J1379" t="s">
        <v>332</v>
      </c>
      <c r="K1379" t="s">
        <v>331</v>
      </c>
    </row>
    <row r="1380" spans="1:11" x14ac:dyDescent="0.2">
      <c r="A1380">
        <v>8</v>
      </c>
      <c r="B1380" s="21">
        <v>46033</v>
      </c>
      <c r="C1380" t="s">
        <v>328</v>
      </c>
      <c r="D1380">
        <v>15</v>
      </c>
      <c r="E1380" t="s">
        <v>323</v>
      </c>
      <c r="F1380" s="21">
        <v>37350</v>
      </c>
      <c r="G1380" s="24" t="s">
        <v>309</v>
      </c>
      <c r="H1380" t="s">
        <v>294</v>
      </c>
      <c r="I1380" t="s">
        <v>329</v>
      </c>
      <c r="J1380" t="s">
        <v>330</v>
      </c>
      <c r="K1380" t="s">
        <v>342</v>
      </c>
    </row>
    <row r="1381" spans="1:11" x14ac:dyDescent="0.2">
      <c r="A1381">
        <v>8</v>
      </c>
      <c r="B1381" s="21">
        <v>46033</v>
      </c>
      <c r="C1381" t="s">
        <v>328</v>
      </c>
      <c r="D1381">
        <v>15</v>
      </c>
      <c r="E1381" t="s">
        <v>323</v>
      </c>
      <c r="F1381" s="21">
        <v>37350</v>
      </c>
      <c r="G1381" s="24" t="s">
        <v>309</v>
      </c>
      <c r="H1381" t="s">
        <v>293</v>
      </c>
      <c r="I1381" t="s">
        <v>329</v>
      </c>
      <c r="J1381" t="s">
        <v>332</v>
      </c>
      <c r="K1381" t="s">
        <v>331</v>
      </c>
    </row>
    <row r="1382" spans="1:11" x14ac:dyDescent="0.2">
      <c r="A1382">
        <v>8</v>
      </c>
      <c r="B1382" s="21">
        <v>46033</v>
      </c>
      <c r="C1382" t="s">
        <v>328</v>
      </c>
      <c r="D1382">
        <v>15</v>
      </c>
      <c r="E1382" t="s">
        <v>323</v>
      </c>
      <c r="F1382" s="21">
        <v>37350</v>
      </c>
      <c r="G1382" s="24" t="s">
        <v>309</v>
      </c>
      <c r="H1382" t="s">
        <v>294</v>
      </c>
      <c r="I1382" t="s">
        <v>337</v>
      </c>
      <c r="J1382" t="s">
        <v>332</v>
      </c>
      <c r="K1382" t="s">
        <v>338</v>
      </c>
    </row>
    <row r="1383" spans="1:11" x14ac:dyDescent="0.2">
      <c r="A1383">
        <v>8</v>
      </c>
      <c r="B1383" s="21">
        <v>46033</v>
      </c>
      <c r="C1383" t="s">
        <v>328</v>
      </c>
      <c r="D1383">
        <v>15</v>
      </c>
      <c r="E1383" t="s">
        <v>323</v>
      </c>
      <c r="F1383" s="21">
        <v>37350</v>
      </c>
      <c r="G1383" s="24" t="s">
        <v>309</v>
      </c>
      <c r="H1383" t="s">
        <v>295</v>
      </c>
      <c r="I1383" t="s">
        <v>344</v>
      </c>
      <c r="J1383" t="s">
        <v>330</v>
      </c>
      <c r="K1383" t="s">
        <v>338</v>
      </c>
    </row>
    <row r="1384" spans="1:11" x14ac:dyDescent="0.2">
      <c r="A1384">
        <v>8</v>
      </c>
      <c r="B1384" s="21">
        <v>46033</v>
      </c>
      <c r="C1384" t="s">
        <v>328</v>
      </c>
      <c r="D1384">
        <v>15</v>
      </c>
      <c r="E1384" t="s">
        <v>323</v>
      </c>
      <c r="F1384" s="21">
        <v>37350</v>
      </c>
      <c r="G1384" s="24" t="s">
        <v>309</v>
      </c>
      <c r="H1384" t="s">
        <v>306</v>
      </c>
      <c r="I1384" t="s">
        <v>329</v>
      </c>
      <c r="J1384" t="s">
        <v>332</v>
      </c>
      <c r="K1384" t="s">
        <v>333</v>
      </c>
    </row>
    <row r="1385" spans="1:11" x14ac:dyDescent="0.2">
      <c r="A1385">
        <v>8</v>
      </c>
      <c r="B1385" s="21">
        <v>46033</v>
      </c>
      <c r="C1385" t="s">
        <v>328</v>
      </c>
      <c r="D1385">
        <v>15</v>
      </c>
      <c r="E1385" t="s">
        <v>323</v>
      </c>
      <c r="F1385" s="21">
        <v>37350</v>
      </c>
      <c r="G1385" s="24" t="s">
        <v>309</v>
      </c>
      <c r="H1385" t="s">
        <v>292</v>
      </c>
      <c r="I1385" t="s">
        <v>329</v>
      </c>
      <c r="J1385" t="s">
        <v>330</v>
      </c>
      <c r="K1385" t="s">
        <v>331</v>
      </c>
    </row>
    <row r="1386" spans="1:11" x14ac:dyDescent="0.2">
      <c r="A1386">
        <v>8</v>
      </c>
      <c r="B1386" s="21">
        <v>46033</v>
      </c>
      <c r="C1386" t="s">
        <v>328</v>
      </c>
      <c r="D1386">
        <v>15</v>
      </c>
      <c r="E1386" t="s">
        <v>323</v>
      </c>
      <c r="F1386" s="21">
        <v>37350</v>
      </c>
      <c r="G1386" s="24" t="s">
        <v>309</v>
      </c>
      <c r="H1386" t="s">
        <v>296</v>
      </c>
      <c r="I1386" t="s">
        <v>329</v>
      </c>
      <c r="J1386" t="s">
        <v>330</v>
      </c>
      <c r="K1386" t="s">
        <v>331</v>
      </c>
    </row>
    <row r="1387" spans="1:11" x14ac:dyDescent="0.2">
      <c r="A1387">
        <v>8</v>
      </c>
      <c r="B1387" s="21">
        <v>46033</v>
      </c>
      <c r="C1387" t="s">
        <v>328</v>
      </c>
      <c r="D1387">
        <v>15</v>
      </c>
      <c r="E1387" t="s">
        <v>323</v>
      </c>
      <c r="F1387" s="21">
        <v>37350</v>
      </c>
      <c r="G1387" s="24" t="s">
        <v>309</v>
      </c>
      <c r="H1387" t="s">
        <v>295</v>
      </c>
      <c r="I1387" t="s">
        <v>329</v>
      </c>
      <c r="J1387" t="s">
        <v>330</v>
      </c>
      <c r="K1387" t="s">
        <v>331</v>
      </c>
    </row>
    <row r="1388" spans="1:11" x14ac:dyDescent="0.2">
      <c r="A1388">
        <v>8</v>
      </c>
      <c r="B1388" s="21">
        <v>46033</v>
      </c>
      <c r="C1388" t="s">
        <v>328</v>
      </c>
      <c r="D1388">
        <v>15</v>
      </c>
      <c r="E1388" t="s">
        <v>323</v>
      </c>
      <c r="F1388" s="21">
        <v>37350</v>
      </c>
      <c r="G1388" s="24" t="s">
        <v>309</v>
      </c>
      <c r="H1388" t="s">
        <v>296</v>
      </c>
      <c r="I1388" t="s">
        <v>329</v>
      </c>
      <c r="J1388" t="s">
        <v>330</v>
      </c>
      <c r="K1388" t="s">
        <v>342</v>
      </c>
    </row>
    <row r="1389" spans="1:11" x14ac:dyDescent="0.2">
      <c r="A1389">
        <v>8</v>
      </c>
      <c r="B1389" s="21">
        <v>46033</v>
      </c>
      <c r="C1389" t="s">
        <v>328</v>
      </c>
      <c r="D1389">
        <v>15</v>
      </c>
      <c r="E1389" t="s">
        <v>323</v>
      </c>
      <c r="F1389" s="21">
        <v>37350</v>
      </c>
      <c r="G1389" s="24" t="s">
        <v>309</v>
      </c>
      <c r="H1389" t="s">
        <v>293</v>
      </c>
      <c r="I1389" t="s">
        <v>329</v>
      </c>
      <c r="J1389" t="s">
        <v>332</v>
      </c>
      <c r="K1389" t="s">
        <v>331</v>
      </c>
    </row>
    <row r="1390" spans="1:11" x14ac:dyDescent="0.2">
      <c r="A1390">
        <v>8</v>
      </c>
      <c r="B1390" s="21">
        <v>46033</v>
      </c>
      <c r="C1390" t="s">
        <v>328</v>
      </c>
      <c r="D1390">
        <v>15</v>
      </c>
      <c r="E1390" t="s">
        <v>323</v>
      </c>
      <c r="F1390" s="21">
        <v>37350</v>
      </c>
      <c r="G1390" s="24" t="s">
        <v>309</v>
      </c>
      <c r="H1390" t="s">
        <v>294</v>
      </c>
      <c r="I1390" t="s">
        <v>329</v>
      </c>
      <c r="J1390" t="s">
        <v>332</v>
      </c>
      <c r="K1390" t="s">
        <v>331</v>
      </c>
    </row>
    <row r="1391" spans="1:11" x14ac:dyDescent="0.2">
      <c r="A1391">
        <v>8</v>
      </c>
      <c r="B1391" s="21">
        <v>46033</v>
      </c>
      <c r="C1391" t="s">
        <v>328</v>
      </c>
      <c r="D1391">
        <v>15</v>
      </c>
      <c r="E1391" t="s">
        <v>323</v>
      </c>
      <c r="F1391" s="21">
        <v>37350</v>
      </c>
      <c r="G1391" s="24" t="s">
        <v>309</v>
      </c>
      <c r="H1391" t="s">
        <v>296</v>
      </c>
      <c r="I1391" t="s">
        <v>341</v>
      </c>
      <c r="J1391" t="s">
        <v>330</v>
      </c>
      <c r="K1391" t="s">
        <v>331</v>
      </c>
    </row>
    <row r="1392" spans="1:11" x14ac:dyDescent="0.2">
      <c r="A1392">
        <v>8</v>
      </c>
      <c r="B1392" s="21">
        <v>46033</v>
      </c>
      <c r="C1392" t="s">
        <v>328</v>
      </c>
      <c r="D1392">
        <v>15</v>
      </c>
      <c r="E1392" t="s">
        <v>323</v>
      </c>
      <c r="F1392" s="21">
        <v>37350</v>
      </c>
      <c r="G1392" s="24" t="s">
        <v>309</v>
      </c>
      <c r="H1392" t="s">
        <v>295</v>
      </c>
      <c r="I1392" t="s">
        <v>329</v>
      </c>
      <c r="J1392" t="s">
        <v>330</v>
      </c>
      <c r="K1392" t="s">
        <v>343</v>
      </c>
    </row>
    <row r="1393" spans="1:11" x14ac:dyDescent="0.2">
      <c r="A1393">
        <v>8</v>
      </c>
      <c r="B1393" s="21">
        <v>46033</v>
      </c>
      <c r="C1393" t="s">
        <v>328</v>
      </c>
      <c r="D1393">
        <v>15</v>
      </c>
      <c r="E1393" t="s">
        <v>323</v>
      </c>
      <c r="F1393" s="21">
        <v>37350</v>
      </c>
      <c r="G1393" s="24" t="s">
        <v>309</v>
      </c>
      <c r="H1393" t="s">
        <v>306</v>
      </c>
      <c r="I1393" t="s">
        <v>347</v>
      </c>
      <c r="J1393" t="s">
        <v>332</v>
      </c>
      <c r="K1393" t="s">
        <v>346</v>
      </c>
    </row>
    <row r="1394" spans="1:11" x14ac:dyDescent="0.2">
      <c r="A1394">
        <v>8</v>
      </c>
      <c r="B1394" s="21">
        <v>46033</v>
      </c>
      <c r="C1394" t="s">
        <v>328</v>
      </c>
      <c r="D1394">
        <v>15</v>
      </c>
      <c r="E1394" t="s">
        <v>323</v>
      </c>
      <c r="F1394" s="21">
        <v>37350</v>
      </c>
      <c r="G1394" s="24" t="s">
        <v>309</v>
      </c>
      <c r="H1394" t="s">
        <v>306</v>
      </c>
      <c r="I1394" t="s">
        <v>329</v>
      </c>
      <c r="J1394" t="s">
        <v>332</v>
      </c>
      <c r="K1394" t="s">
        <v>343</v>
      </c>
    </row>
    <row r="1395" spans="1:11" x14ac:dyDescent="0.2">
      <c r="A1395">
        <v>8</v>
      </c>
      <c r="B1395" s="21">
        <v>46033</v>
      </c>
      <c r="C1395" t="s">
        <v>328</v>
      </c>
      <c r="D1395">
        <v>15</v>
      </c>
      <c r="E1395" t="s">
        <v>323</v>
      </c>
      <c r="F1395" s="21">
        <v>37350</v>
      </c>
      <c r="G1395" s="24" t="s">
        <v>309</v>
      </c>
      <c r="H1395" t="s">
        <v>293</v>
      </c>
      <c r="I1395" t="s">
        <v>337</v>
      </c>
      <c r="J1395" t="s">
        <v>332</v>
      </c>
      <c r="K1395" t="s">
        <v>331</v>
      </c>
    </row>
    <row r="1396" spans="1:11" x14ac:dyDescent="0.2">
      <c r="A1396">
        <v>8</v>
      </c>
      <c r="B1396" s="21">
        <v>46033</v>
      </c>
      <c r="C1396" t="s">
        <v>328</v>
      </c>
      <c r="D1396">
        <v>15</v>
      </c>
      <c r="E1396" t="s">
        <v>323</v>
      </c>
      <c r="F1396" s="21">
        <v>37350</v>
      </c>
      <c r="G1396" s="24" t="s">
        <v>309</v>
      </c>
      <c r="H1396" t="s">
        <v>293</v>
      </c>
      <c r="I1396" t="s">
        <v>334</v>
      </c>
      <c r="J1396" t="s">
        <v>330</v>
      </c>
      <c r="K1396" t="s">
        <v>331</v>
      </c>
    </row>
    <row r="1397" spans="1:11" x14ac:dyDescent="0.2">
      <c r="A1397">
        <v>8</v>
      </c>
      <c r="B1397" s="21">
        <v>46033</v>
      </c>
      <c r="C1397" t="s">
        <v>328</v>
      </c>
      <c r="D1397">
        <v>15</v>
      </c>
      <c r="E1397" t="s">
        <v>323</v>
      </c>
      <c r="F1397" s="21">
        <v>37350</v>
      </c>
      <c r="G1397" s="24" t="s">
        <v>309</v>
      </c>
      <c r="H1397" t="s">
        <v>295</v>
      </c>
      <c r="I1397" t="s">
        <v>334</v>
      </c>
      <c r="J1397" t="s">
        <v>332</v>
      </c>
      <c r="K1397" t="s">
        <v>343</v>
      </c>
    </row>
    <row r="1398" spans="1:11" x14ac:dyDescent="0.2">
      <c r="A1398">
        <v>8</v>
      </c>
      <c r="B1398" s="21">
        <v>46033</v>
      </c>
      <c r="C1398" t="s">
        <v>328</v>
      </c>
      <c r="D1398">
        <v>15</v>
      </c>
      <c r="E1398" t="s">
        <v>323</v>
      </c>
      <c r="F1398" s="21">
        <v>37350</v>
      </c>
      <c r="G1398" s="24" t="s">
        <v>309</v>
      </c>
      <c r="H1398" t="s">
        <v>295</v>
      </c>
      <c r="I1398" t="s">
        <v>329</v>
      </c>
      <c r="J1398" t="s">
        <v>332</v>
      </c>
      <c r="K1398" t="s">
        <v>338</v>
      </c>
    </row>
    <row r="1399" spans="1:11" x14ac:dyDescent="0.2">
      <c r="A1399">
        <v>8</v>
      </c>
      <c r="B1399" s="21">
        <v>46033</v>
      </c>
      <c r="C1399" t="s">
        <v>328</v>
      </c>
      <c r="D1399">
        <v>15</v>
      </c>
      <c r="E1399" t="s">
        <v>323</v>
      </c>
      <c r="F1399" s="21">
        <v>37350</v>
      </c>
      <c r="G1399" s="24" t="s">
        <v>309</v>
      </c>
      <c r="H1399" t="s">
        <v>294</v>
      </c>
      <c r="I1399" t="s">
        <v>329</v>
      </c>
      <c r="J1399" t="s">
        <v>332</v>
      </c>
      <c r="K1399" t="s">
        <v>338</v>
      </c>
    </row>
    <row r="1400" spans="1:11" x14ac:dyDescent="0.2">
      <c r="A1400">
        <v>8</v>
      </c>
      <c r="B1400" s="21">
        <v>46033</v>
      </c>
      <c r="C1400" t="s">
        <v>328</v>
      </c>
      <c r="D1400">
        <v>15</v>
      </c>
      <c r="E1400" t="s">
        <v>323</v>
      </c>
      <c r="F1400" s="21">
        <v>37350</v>
      </c>
      <c r="G1400" s="24" t="s">
        <v>309</v>
      </c>
      <c r="H1400" t="s">
        <v>283</v>
      </c>
      <c r="I1400" t="s">
        <v>329</v>
      </c>
      <c r="J1400" t="s">
        <v>332</v>
      </c>
      <c r="K1400" t="s">
        <v>342</v>
      </c>
    </row>
    <row r="1401" spans="1:11" x14ac:dyDescent="0.2">
      <c r="A1401">
        <v>8</v>
      </c>
      <c r="B1401" s="21">
        <v>46033</v>
      </c>
      <c r="C1401" t="s">
        <v>328</v>
      </c>
      <c r="D1401">
        <v>15</v>
      </c>
      <c r="E1401" t="s">
        <v>323</v>
      </c>
      <c r="F1401" s="21">
        <v>37350</v>
      </c>
      <c r="G1401" s="24" t="s">
        <v>309</v>
      </c>
      <c r="H1401" t="s">
        <v>293</v>
      </c>
      <c r="I1401" t="s">
        <v>344</v>
      </c>
      <c r="J1401" t="s">
        <v>330</v>
      </c>
      <c r="K1401" t="s">
        <v>336</v>
      </c>
    </row>
    <row r="1402" spans="1:11" x14ac:dyDescent="0.2">
      <c r="A1402">
        <v>8</v>
      </c>
      <c r="B1402" s="21">
        <v>46033</v>
      </c>
      <c r="C1402" t="s">
        <v>328</v>
      </c>
      <c r="D1402">
        <v>15</v>
      </c>
      <c r="E1402" t="s">
        <v>323</v>
      </c>
      <c r="F1402" s="21">
        <v>37350</v>
      </c>
      <c r="G1402" s="24" t="s">
        <v>309</v>
      </c>
      <c r="H1402" t="s">
        <v>283</v>
      </c>
      <c r="I1402" t="s">
        <v>329</v>
      </c>
      <c r="J1402" t="s">
        <v>330</v>
      </c>
      <c r="K1402" t="s">
        <v>335</v>
      </c>
    </row>
    <row r="1403" spans="1:11" x14ac:dyDescent="0.2">
      <c r="A1403">
        <v>8</v>
      </c>
      <c r="B1403" s="21">
        <v>46033</v>
      </c>
      <c r="C1403" t="s">
        <v>328</v>
      </c>
      <c r="D1403">
        <v>15</v>
      </c>
      <c r="E1403" t="s">
        <v>323</v>
      </c>
      <c r="F1403" s="21">
        <v>37350</v>
      </c>
      <c r="G1403" s="24" t="s">
        <v>309</v>
      </c>
      <c r="H1403" t="s">
        <v>293</v>
      </c>
      <c r="I1403" t="s">
        <v>329</v>
      </c>
      <c r="J1403" t="s">
        <v>332</v>
      </c>
      <c r="K1403" t="s">
        <v>342</v>
      </c>
    </row>
    <row r="1404" spans="1:11" x14ac:dyDescent="0.2">
      <c r="A1404">
        <v>8</v>
      </c>
      <c r="B1404" s="21">
        <v>46033</v>
      </c>
      <c r="C1404" t="s">
        <v>328</v>
      </c>
      <c r="D1404">
        <v>15</v>
      </c>
      <c r="E1404" t="s">
        <v>323</v>
      </c>
      <c r="F1404" s="21">
        <v>37350</v>
      </c>
      <c r="G1404" s="24" t="s">
        <v>309</v>
      </c>
      <c r="H1404" t="s">
        <v>279</v>
      </c>
      <c r="I1404" t="s">
        <v>337</v>
      </c>
      <c r="J1404" t="s">
        <v>332</v>
      </c>
      <c r="K1404" t="s">
        <v>342</v>
      </c>
    </row>
    <row r="1405" spans="1:11" x14ac:dyDescent="0.2">
      <c r="A1405">
        <v>8</v>
      </c>
      <c r="B1405" s="21">
        <v>46033</v>
      </c>
      <c r="C1405" t="s">
        <v>328</v>
      </c>
      <c r="D1405">
        <v>15</v>
      </c>
      <c r="E1405" t="s">
        <v>323</v>
      </c>
      <c r="F1405" s="21">
        <v>37350</v>
      </c>
      <c r="G1405" s="24" t="s">
        <v>309</v>
      </c>
      <c r="H1405" t="s">
        <v>292</v>
      </c>
      <c r="I1405" t="s">
        <v>329</v>
      </c>
      <c r="J1405" t="s">
        <v>330</v>
      </c>
      <c r="K1405" t="s">
        <v>331</v>
      </c>
    </row>
    <row r="1406" spans="1:11" x14ac:dyDescent="0.2">
      <c r="A1406">
        <v>8</v>
      </c>
      <c r="B1406" s="21">
        <v>46033</v>
      </c>
      <c r="C1406" t="s">
        <v>328</v>
      </c>
      <c r="D1406">
        <v>15</v>
      </c>
      <c r="E1406" t="s">
        <v>323</v>
      </c>
      <c r="F1406" s="21">
        <v>37350</v>
      </c>
      <c r="G1406" s="24" t="s">
        <v>309</v>
      </c>
      <c r="H1406" t="s">
        <v>293</v>
      </c>
      <c r="I1406" t="s">
        <v>337</v>
      </c>
      <c r="J1406" t="s">
        <v>330</v>
      </c>
      <c r="K1406" t="s">
        <v>342</v>
      </c>
    </row>
    <row r="1407" spans="1:11" x14ac:dyDescent="0.2">
      <c r="A1407">
        <v>8</v>
      </c>
      <c r="B1407" s="21">
        <v>46033</v>
      </c>
      <c r="C1407" t="s">
        <v>328</v>
      </c>
      <c r="D1407">
        <v>15</v>
      </c>
      <c r="E1407" t="s">
        <v>323</v>
      </c>
      <c r="F1407" s="21">
        <v>37350</v>
      </c>
      <c r="G1407" s="24" t="s">
        <v>309</v>
      </c>
      <c r="H1407" t="s">
        <v>290</v>
      </c>
      <c r="I1407" t="s">
        <v>341</v>
      </c>
      <c r="J1407" t="s">
        <v>330</v>
      </c>
      <c r="K1407" t="s">
        <v>342</v>
      </c>
    </row>
    <row r="1408" spans="1:11" x14ac:dyDescent="0.2">
      <c r="A1408">
        <v>8</v>
      </c>
      <c r="B1408" s="21">
        <v>46033</v>
      </c>
      <c r="C1408" t="s">
        <v>328</v>
      </c>
      <c r="D1408">
        <v>15</v>
      </c>
      <c r="E1408" t="s">
        <v>323</v>
      </c>
      <c r="F1408" s="21">
        <v>37350</v>
      </c>
      <c r="G1408" s="24" t="s">
        <v>309</v>
      </c>
      <c r="H1408" t="s">
        <v>293</v>
      </c>
      <c r="I1408" t="s">
        <v>337</v>
      </c>
      <c r="J1408" t="s">
        <v>332</v>
      </c>
      <c r="K1408" t="s">
        <v>331</v>
      </c>
    </row>
    <row r="1409" spans="1:11" x14ac:dyDescent="0.2">
      <c r="A1409">
        <v>8</v>
      </c>
      <c r="B1409" s="21">
        <v>46033</v>
      </c>
      <c r="C1409" t="s">
        <v>328</v>
      </c>
      <c r="D1409">
        <v>15</v>
      </c>
      <c r="E1409" t="s">
        <v>323</v>
      </c>
      <c r="F1409" s="21">
        <v>37350</v>
      </c>
      <c r="G1409" s="24" t="s">
        <v>309</v>
      </c>
      <c r="H1409" t="s">
        <v>283</v>
      </c>
      <c r="I1409" t="s">
        <v>329</v>
      </c>
      <c r="J1409" t="s">
        <v>330</v>
      </c>
      <c r="K1409" t="s">
        <v>336</v>
      </c>
    </row>
    <row r="1410" spans="1:11" x14ac:dyDescent="0.2">
      <c r="A1410">
        <v>8</v>
      </c>
      <c r="B1410" s="21">
        <v>46033</v>
      </c>
      <c r="C1410" t="s">
        <v>328</v>
      </c>
      <c r="D1410">
        <v>15</v>
      </c>
      <c r="E1410" t="s">
        <v>323</v>
      </c>
      <c r="F1410" s="21">
        <v>37350</v>
      </c>
      <c r="G1410" s="24" t="s">
        <v>312</v>
      </c>
      <c r="H1410" t="s">
        <v>306</v>
      </c>
      <c r="I1410" t="s">
        <v>329</v>
      </c>
      <c r="J1410" t="s">
        <v>332</v>
      </c>
      <c r="K1410" t="s">
        <v>333</v>
      </c>
    </row>
    <row r="1411" spans="1:11" x14ac:dyDescent="0.2">
      <c r="A1411">
        <v>8</v>
      </c>
      <c r="B1411" s="21">
        <v>46033</v>
      </c>
      <c r="C1411" t="s">
        <v>328</v>
      </c>
      <c r="D1411">
        <v>15</v>
      </c>
      <c r="E1411" t="s">
        <v>323</v>
      </c>
      <c r="F1411" s="21">
        <v>37350</v>
      </c>
      <c r="G1411" s="24" t="s">
        <v>312</v>
      </c>
      <c r="H1411" t="s">
        <v>293</v>
      </c>
      <c r="I1411" t="s">
        <v>329</v>
      </c>
      <c r="J1411" t="s">
        <v>330</v>
      </c>
      <c r="K1411" t="s">
        <v>333</v>
      </c>
    </row>
    <row r="1412" spans="1:11" x14ac:dyDescent="0.2">
      <c r="A1412">
        <v>8</v>
      </c>
      <c r="B1412" s="21">
        <v>46033</v>
      </c>
      <c r="C1412" t="s">
        <v>328</v>
      </c>
      <c r="D1412">
        <v>15</v>
      </c>
      <c r="E1412" t="s">
        <v>323</v>
      </c>
      <c r="F1412" s="21">
        <v>37350</v>
      </c>
      <c r="G1412" s="24" t="s">
        <v>312</v>
      </c>
      <c r="H1412" t="s">
        <v>293</v>
      </c>
      <c r="I1412" t="s">
        <v>341</v>
      </c>
      <c r="J1412" t="s">
        <v>330</v>
      </c>
      <c r="K1412" t="s">
        <v>331</v>
      </c>
    </row>
    <row r="1413" spans="1:11" x14ac:dyDescent="0.2">
      <c r="A1413">
        <v>8</v>
      </c>
      <c r="B1413" s="21">
        <v>46033</v>
      </c>
      <c r="C1413" t="s">
        <v>328</v>
      </c>
      <c r="D1413">
        <v>15</v>
      </c>
      <c r="E1413" t="s">
        <v>323</v>
      </c>
      <c r="F1413" s="21">
        <v>37350</v>
      </c>
      <c r="G1413" s="24" t="s">
        <v>312</v>
      </c>
      <c r="H1413" t="s">
        <v>283</v>
      </c>
      <c r="I1413" t="s">
        <v>341</v>
      </c>
      <c r="J1413" t="s">
        <v>330</v>
      </c>
      <c r="K1413" t="s">
        <v>331</v>
      </c>
    </row>
    <row r="1414" spans="1:11" x14ac:dyDescent="0.2">
      <c r="A1414">
        <v>8</v>
      </c>
      <c r="B1414" s="21">
        <v>46033</v>
      </c>
      <c r="C1414" t="s">
        <v>328</v>
      </c>
      <c r="D1414">
        <v>15</v>
      </c>
      <c r="E1414" t="s">
        <v>323</v>
      </c>
      <c r="F1414" s="21">
        <v>37350</v>
      </c>
      <c r="G1414" s="24" t="s">
        <v>312</v>
      </c>
      <c r="H1414" t="s">
        <v>293</v>
      </c>
      <c r="I1414" t="s">
        <v>329</v>
      </c>
      <c r="J1414" t="s">
        <v>332</v>
      </c>
      <c r="K1414" t="s">
        <v>331</v>
      </c>
    </row>
    <row r="1415" spans="1:11" x14ac:dyDescent="0.2">
      <c r="A1415">
        <v>8</v>
      </c>
      <c r="B1415" s="21">
        <v>46033</v>
      </c>
      <c r="C1415" t="s">
        <v>328</v>
      </c>
      <c r="D1415">
        <v>15</v>
      </c>
      <c r="E1415" t="s">
        <v>323</v>
      </c>
      <c r="F1415" s="21">
        <v>37350</v>
      </c>
      <c r="G1415" s="24" t="s">
        <v>312</v>
      </c>
      <c r="H1415" t="s">
        <v>296</v>
      </c>
      <c r="I1415" t="s">
        <v>337</v>
      </c>
      <c r="J1415" t="s">
        <v>332</v>
      </c>
      <c r="K1415" t="s">
        <v>343</v>
      </c>
    </row>
    <row r="1416" spans="1:11" x14ac:dyDescent="0.2">
      <c r="A1416">
        <v>8</v>
      </c>
      <c r="B1416" s="21">
        <v>46033</v>
      </c>
      <c r="C1416" t="s">
        <v>328</v>
      </c>
      <c r="D1416">
        <v>15</v>
      </c>
      <c r="E1416" t="s">
        <v>323</v>
      </c>
      <c r="F1416" s="21">
        <v>37350</v>
      </c>
      <c r="G1416" s="24" t="s">
        <v>312</v>
      </c>
      <c r="H1416" t="s">
        <v>296</v>
      </c>
      <c r="I1416" t="s">
        <v>344</v>
      </c>
      <c r="J1416" t="s">
        <v>330</v>
      </c>
      <c r="K1416" t="s">
        <v>331</v>
      </c>
    </row>
    <row r="1417" spans="1:11" x14ac:dyDescent="0.2">
      <c r="A1417">
        <v>8</v>
      </c>
      <c r="B1417" s="21">
        <v>46033</v>
      </c>
      <c r="C1417" t="s">
        <v>328</v>
      </c>
      <c r="D1417">
        <v>15</v>
      </c>
      <c r="E1417" t="s">
        <v>323</v>
      </c>
      <c r="F1417" s="21">
        <v>37350</v>
      </c>
      <c r="G1417" s="24" t="s">
        <v>312</v>
      </c>
      <c r="H1417" t="s">
        <v>294</v>
      </c>
      <c r="I1417" t="s">
        <v>341</v>
      </c>
      <c r="J1417" t="s">
        <v>332</v>
      </c>
      <c r="K1417" t="s">
        <v>331</v>
      </c>
    </row>
    <row r="1418" spans="1:11" x14ac:dyDescent="0.2">
      <c r="A1418">
        <v>8</v>
      </c>
      <c r="B1418" s="21">
        <v>46033</v>
      </c>
      <c r="C1418" t="s">
        <v>328</v>
      </c>
      <c r="D1418">
        <v>15</v>
      </c>
      <c r="E1418" t="s">
        <v>323</v>
      </c>
      <c r="F1418" s="21">
        <v>37350</v>
      </c>
      <c r="G1418" s="24" t="s">
        <v>312</v>
      </c>
      <c r="H1418" t="s">
        <v>296</v>
      </c>
      <c r="I1418" t="s">
        <v>329</v>
      </c>
      <c r="J1418" t="s">
        <v>332</v>
      </c>
      <c r="K1418" t="s">
        <v>331</v>
      </c>
    </row>
    <row r="1419" spans="1:11" x14ac:dyDescent="0.2">
      <c r="A1419">
        <v>8</v>
      </c>
      <c r="B1419" s="21">
        <v>46033</v>
      </c>
      <c r="C1419" t="s">
        <v>328</v>
      </c>
      <c r="D1419">
        <v>15</v>
      </c>
      <c r="E1419" t="s">
        <v>323</v>
      </c>
      <c r="F1419" s="21">
        <v>37350</v>
      </c>
      <c r="G1419" s="24" t="s">
        <v>312</v>
      </c>
      <c r="H1419" t="s">
        <v>279</v>
      </c>
      <c r="I1419" t="s">
        <v>329</v>
      </c>
      <c r="J1419" t="s">
        <v>332</v>
      </c>
      <c r="K1419" t="s">
        <v>346</v>
      </c>
    </row>
    <row r="1420" spans="1:11" x14ac:dyDescent="0.2">
      <c r="A1420">
        <v>8</v>
      </c>
      <c r="B1420" s="21">
        <v>46033</v>
      </c>
      <c r="C1420" t="s">
        <v>328</v>
      </c>
      <c r="D1420">
        <v>15</v>
      </c>
      <c r="E1420" t="s">
        <v>323</v>
      </c>
      <c r="F1420" s="21">
        <v>37350</v>
      </c>
      <c r="G1420" s="24" t="s">
        <v>312</v>
      </c>
      <c r="H1420" t="s">
        <v>279</v>
      </c>
      <c r="I1420" t="s">
        <v>337</v>
      </c>
      <c r="J1420" t="s">
        <v>332</v>
      </c>
      <c r="K1420" t="s">
        <v>346</v>
      </c>
    </row>
    <row r="1421" spans="1:11" x14ac:dyDescent="0.2">
      <c r="A1421">
        <v>8</v>
      </c>
      <c r="B1421" s="21">
        <v>46033</v>
      </c>
      <c r="C1421" t="s">
        <v>328</v>
      </c>
      <c r="D1421">
        <v>15</v>
      </c>
      <c r="E1421" t="s">
        <v>323</v>
      </c>
      <c r="F1421" s="21">
        <v>37350</v>
      </c>
      <c r="G1421" s="24" t="s">
        <v>312</v>
      </c>
      <c r="H1421" t="s">
        <v>294</v>
      </c>
      <c r="I1421" t="s">
        <v>329</v>
      </c>
      <c r="J1421" t="s">
        <v>330</v>
      </c>
      <c r="K1421" t="s">
        <v>342</v>
      </c>
    </row>
    <row r="1422" spans="1:11" x14ac:dyDescent="0.2">
      <c r="A1422">
        <v>8</v>
      </c>
      <c r="B1422" s="21">
        <v>46033</v>
      </c>
      <c r="C1422" t="s">
        <v>328</v>
      </c>
      <c r="D1422">
        <v>15</v>
      </c>
      <c r="E1422" t="s">
        <v>323</v>
      </c>
      <c r="F1422" s="21">
        <v>37350</v>
      </c>
      <c r="G1422" s="24" t="s">
        <v>312</v>
      </c>
      <c r="H1422" t="s">
        <v>290</v>
      </c>
      <c r="I1422" t="s">
        <v>329</v>
      </c>
      <c r="J1422" t="s">
        <v>330</v>
      </c>
      <c r="K1422" t="s">
        <v>342</v>
      </c>
    </row>
    <row r="1423" spans="1:11" x14ac:dyDescent="0.2">
      <c r="A1423">
        <v>8</v>
      </c>
      <c r="B1423" s="21">
        <v>46033</v>
      </c>
      <c r="C1423" t="s">
        <v>328</v>
      </c>
      <c r="D1423">
        <v>15</v>
      </c>
      <c r="E1423" t="s">
        <v>323</v>
      </c>
      <c r="F1423" s="21">
        <v>37350</v>
      </c>
      <c r="G1423" s="24" t="s">
        <v>312</v>
      </c>
      <c r="H1423" t="s">
        <v>292</v>
      </c>
      <c r="I1423" t="s">
        <v>337</v>
      </c>
      <c r="J1423" t="s">
        <v>332</v>
      </c>
      <c r="K1423" t="s">
        <v>342</v>
      </c>
    </row>
    <row r="1424" spans="1:11" x14ac:dyDescent="0.2">
      <c r="A1424">
        <v>8</v>
      </c>
      <c r="B1424" s="21">
        <v>46033</v>
      </c>
      <c r="C1424" t="s">
        <v>328</v>
      </c>
      <c r="D1424">
        <v>15</v>
      </c>
      <c r="E1424" t="s">
        <v>323</v>
      </c>
      <c r="F1424" s="21">
        <v>37350</v>
      </c>
      <c r="G1424" s="24" t="s">
        <v>312</v>
      </c>
      <c r="H1424" t="s">
        <v>295</v>
      </c>
      <c r="I1424" t="s">
        <v>329</v>
      </c>
      <c r="J1424" t="s">
        <v>332</v>
      </c>
      <c r="K1424" t="s">
        <v>338</v>
      </c>
    </row>
    <row r="1425" spans="1:11" x14ac:dyDescent="0.2">
      <c r="A1425">
        <v>8</v>
      </c>
      <c r="B1425" s="21">
        <v>46033</v>
      </c>
      <c r="C1425" t="s">
        <v>328</v>
      </c>
      <c r="D1425">
        <v>15</v>
      </c>
      <c r="E1425" t="s">
        <v>323</v>
      </c>
      <c r="F1425" s="21">
        <v>37350</v>
      </c>
      <c r="G1425" s="24" t="s">
        <v>312</v>
      </c>
      <c r="H1425" t="s">
        <v>292</v>
      </c>
      <c r="I1425" t="s">
        <v>341</v>
      </c>
      <c r="J1425" t="s">
        <v>330</v>
      </c>
      <c r="K1425" t="s">
        <v>331</v>
      </c>
    </row>
    <row r="1426" spans="1:11" x14ac:dyDescent="0.2">
      <c r="A1426">
        <v>8</v>
      </c>
      <c r="B1426" s="21">
        <v>46033</v>
      </c>
      <c r="C1426" t="s">
        <v>328</v>
      </c>
      <c r="D1426">
        <v>15</v>
      </c>
      <c r="E1426" t="s">
        <v>323</v>
      </c>
      <c r="F1426" s="21">
        <v>37350</v>
      </c>
      <c r="G1426" s="24" t="s">
        <v>312</v>
      </c>
      <c r="H1426" t="s">
        <v>283</v>
      </c>
      <c r="I1426" t="s">
        <v>341</v>
      </c>
      <c r="J1426" t="s">
        <v>330</v>
      </c>
      <c r="K1426" t="s">
        <v>331</v>
      </c>
    </row>
    <row r="1427" spans="1:11" x14ac:dyDescent="0.2">
      <c r="A1427">
        <v>8</v>
      </c>
      <c r="B1427" s="21">
        <v>46033</v>
      </c>
      <c r="C1427" t="s">
        <v>328</v>
      </c>
      <c r="D1427">
        <v>15</v>
      </c>
      <c r="E1427" t="s">
        <v>323</v>
      </c>
      <c r="F1427" s="21">
        <v>37350</v>
      </c>
      <c r="G1427" s="24" t="s">
        <v>312</v>
      </c>
      <c r="H1427" t="s">
        <v>306</v>
      </c>
      <c r="I1427" t="s">
        <v>329</v>
      </c>
      <c r="J1427" t="s">
        <v>330</v>
      </c>
      <c r="K1427" t="s">
        <v>340</v>
      </c>
    </row>
    <row r="1428" spans="1:11" x14ac:dyDescent="0.2">
      <c r="A1428">
        <v>8</v>
      </c>
      <c r="B1428" s="21">
        <v>46033</v>
      </c>
      <c r="C1428" t="s">
        <v>328</v>
      </c>
      <c r="D1428">
        <v>15</v>
      </c>
      <c r="E1428" t="s">
        <v>323</v>
      </c>
      <c r="F1428" s="21">
        <v>37350</v>
      </c>
      <c r="G1428" s="24" t="s">
        <v>312</v>
      </c>
      <c r="H1428" t="s">
        <v>306</v>
      </c>
      <c r="I1428" t="s">
        <v>344</v>
      </c>
      <c r="J1428" t="s">
        <v>330</v>
      </c>
      <c r="K1428" t="s">
        <v>333</v>
      </c>
    </row>
    <row r="1429" spans="1:11" x14ac:dyDescent="0.2">
      <c r="A1429">
        <v>8</v>
      </c>
      <c r="B1429" s="21">
        <v>46033</v>
      </c>
      <c r="C1429" t="s">
        <v>328</v>
      </c>
      <c r="D1429">
        <v>15</v>
      </c>
      <c r="E1429" t="s">
        <v>323</v>
      </c>
      <c r="F1429" s="21">
        <v>37350</v>
      </c>
      <c r="G1429" s="24" t="s">
        <v>312</v>
      </c>
      <c r="H1429" t="s">
        <v>279</v>
      </c>
      <c r="I1429" t="s">
        <v>337</v>
      </c>
      <c r="J1429" t="s">
        <v>332</v>
      </c>
      <c r="K1429" t="s">
        <v>333</v>
      </c>
    </row>
    <row r="1430" spans="1:11" x14ac:dyDescent="0.2">
      <c r="A1430">
        <v>8</v>
      </c>
      <c r="B1430" s="21">
        <v>46033</v>
      </c>
      <c r="C1430" t="s">
        <v>328</v>
      </c>
      <c r="D1430">
        <v>15</v>
      </c>
      <c r="E1430" t="s">
        <v>323</v>
      </c>
      <c r="F1430" s="21">
        <v>37350</v>
      </c>
      <c r="G1430" s="24" t="s">
        <v>312</v>
      </c>
      <c r="H1430" t="s">
        <v>279</v>
      </c>
      <c r="I1430" t="s">
        <v>348</v>
      </c>
      <c r="J1430" t="s">
        <v>332</v>
      </c>
      <c r="K1430" t="s">
        <v>333</v>
      </c>
    </row>
    <row r="1431" spans="1:11" x14ac:dyDescent="0.2">
      <c r="A1431">
        <v>8</v>
      </c>
      <c r="B1431" s="21">
        <v>46033</v>
      </c>
      <c r="C1431" t="s">
        <v>328</v>
      </c>
      <c r="D1431">
        <v>15</v>
      </c>
      <c r="E1431" t="s">
        <v>323</v>
      </c>
      <c r="F1431" s="21">
        <v>37350</v>
      </c>
      <c r="G1431" s="24" t="s">
        <v>312</v>
      </c>
      <c r="H1431" t="s">
        <v>283</v>
      </c>
      <c r="I1431" t="s">
        <v>347</v>
      </c>
      <c r="J1431" t="s">
        <v>332</v>
      </c>
      <c r="K1431" t="s">
        <v>335</v>
      </c>
    </row>
    <row r="1432" spans="1:11" x14ac:dyDescent="0.2">
      <c r="A1432">
        <v>8</v>
      </c>
      <c r="B1432" s="21">
        <v>46033</v>
      </c>
      <c r="C1432" t="s">
        <v>328</v>
      </c>
      <c r="D1432">
        <v>15</v>
      </c>
      <c r="E1432" t="s">
        <v>323</v>
      </c>
      <c r="F1432" s="21">
        <v>37350</v>
      </c>
      <c r="G1432" s="24" t="s">
        <v>312</v>
      </c>
      <c r="H1432" t="s">
        <v>294</v>
      </c>
      <c r="I1432" t="s">
        <v>329</v>
      </c>
      <c r="J1432" t="s">
        <v>330</v>
      </c>
      <c r="K1432" t="s">
        <v>331</v>
      </c>
    </row>
    <row r="1433" spans="1:11" x14ac:dyDescent="0.2">
      <c r="A1433">
        <v>8</v>
      </c>
      <c r="B1433" s="21">
        <v>46033</v>
      </c>
      <c r="C1433" t="s">
        <v>328</v>
      </c>
      <c r="D1433">
        <v>15</v>
      </c>
      <c r="E1433" t="s">
        <v>323</v>
      </c>
      <c r="F1433" s="21">
        <v>37350</v>
      </c>
      <c r="G1433" s="24" t="s">
        <v>312</v>
      </c>
      <c r="H1433" t="s">
        <v>296</v>
      </c>
      <c r="I1433" t="s">
        <v>337</v>
      </c>
      <c r="J1433" t="s">
        <v>332</v>
      </c>
      <c r="K1433" t="s">
        <v>343</v>
      </c>
    </row>
    <row r="1434" spans="1:11" x14ac:dyDescent="0.2">
      <c r="A1434">
        <v>8</v>
      </c>
      <c r="B1434" s="21">
        <v>46033</v>
      </c>
      <c r="C1434" t="s">
        <v>328</v>
      </c>
      <c r="D1434">
        <v>15</v>
      </c>
      <c r="E1434" t="s">
        <v>323</v>
      </c>
      <c r="F1434" s="21">
        <v>37350</v>
      </c>
      <c r="G1434" s="24" t="s">
        <v>312</v>
      </c>
      <c r="H1434" t="s">
        <v>279</v>
      </c>
      <c r="I1434" t="s">
        <v>329</v>
      </c>
      <c r="J1434" t="s">
        <v>332</v>
      </c>
      <c r="K1434" t="s">
        <v>336</v>
      </c>
    </row>
    <row r="1435" spans="1:11" x14ac:dyDescent="0.2">
      <c r="A1435">
        <v>8</v>
      </c>
      <c r="B1435" s="21">
        <v>46033</v>
      </c>
      <c r="C1435" t="s">
        <v>328</v>
      </c>
      <c r="D1435">
        <v>15</v>
      </c>
      <c r="E1435" t="s">
        <v>323</v>
      </c>
      <c r="F1435" s="21">
        <v>37350</v>
      </c>
      <c r="G1435" s="24" t="s">
        <v>312</v>
      </c>
      <c r="H1435" t="s">
        <v>296</v>
      </c>
      <c r="I1435" t="s">
        <v>349</v>
      </c>
      <c r="J1435" t="s">
        <v>330</v>
      </c>
      <c r="K1435" t="s">
        <v>333</v>
      </c>
    </row>
    <row r="1436" spans="1:11" x14ac:dyDescent="0.2">
      <c r="A1436">
        <v>8</v>
      </c>
      <c r="B1436" s="21">
        <v>46033</v>
      </c>
      <c r="C1436" t="s">
        <v>328</v>
      </c>
      <c r="D1436">
        <v>15</v>
      </c>
      <c r="E1436" t="s">
        <v>323</v>
      </c>
      <c r="F1436" s="21">
        <v>37350</v>
      </c>
      <c r="G1436" s="24" t="s">
        <v>312</v>
      </c>
      <c r="H1436" t="s">
        <v>293</v>
      </c>
      <c r="I1436" t="s">
        <v>350</v>
      </c>
      <c r="J1436" t="s">
        <v>330</v>
      </c>
      <c r="K1436" t="s">
        <v>340</v>
      </c>
    </row>
    <row r="1437" spans="1:11" x14ac:dyDescent="0.2">
      <c r="A1437">
        <v>8</v>
      </c>
      <c r="B1437" s="21">
        <v>46033</v>
      </c>
      <c r="C1437" t="s">
        <v>328</v>
      </c>
      <c r="D1437">
        <v>15</v>
      </c>
      <c r="E1437" t="s">
        <v>323</v>
      </c>
      <c r="F1437" s="21">
        <v>37350</v>
      </c>
      <c r="G1437" s="24" t="s">
        <v>312</v>
      </c>
      <c r="H1437" t="s">
        <v>290</v>
      </c>
      <c r="I1437" t="s">
        <v>329</v>
      </c>
      <c r="J1437" t="s">
        <v>330</v>
      </c>
      <c r="K1437" t="s">
        <v>331</v>
      </c>
    </row>
    <row r="1438" spans="1:11" x14ac:dyDescent="0.2">
      <c r="A1438">
        <v>8</v>
      </c>
      <c r="B1438" s="21">
        <v>46033</v>
      </c>
      <c r="C1438" t="s">
        <v>328</v>
      </c>
      <c r="D1438">
        <v>15</v>
      </c>
      <c r="E1438" t="s">
        <v>323</v>
      </c>
      <c r="F1438" s="21">
        <v>37350</v>
      </c>
      <c r="G1438" s="24" t="s">
        <v>312</v>
      </c>
      <c r="H1438" t="s">
        <v>293</v>
      </c>
      <c r="I1438" t="s">
        <v>329</v>
      </c>
      <c r="J1438" t="s">
        <v>330</v>
      </c>
      <c r="K1438" t="s">
        <v>331</v>
      </c>
    </row>
    <row r="1439" spans="1:11" x14ac:dyDescent="0.2">
      <c r="A1439">
        <v>8</v>
      </c>
      <c r="B1439" s="21">
        <v>46033</v>
      </c>
      <c r="C1439" t="s">
        <v>328</v>
      </c>
      <c r="D1439">
        <v>15</v>
      </c>
      <c r="E1439" t="s">
        <v>323</v>
      </c>
      <c r="F1439" s="21">
        <v>37350</v>
      </c>
      <c r="G1439" s="24" t="s">
        <v>312</v>
      </c>
      <c r="H1439" t="s">
        <v>295</v>
      </c>
      <c r="I1439" t="s">
        <v>329</v>
      </c>
      <c r="J1439" t="s">
        <v>330</v>
      </c>
      <c r="K1439" t="s">
        <v>331</v>
      </c>
    </row>
    <row r="1440" spans="1:11" x14ac:dyDescent="0.2">
      <c r="A1440">
        <v>8</v>
      </c>
      <c r="B1440" s="21">
        <v>46033</v>
      </c>
      <c r="C1440" t="s">
        <v>328</v>
      </c>
      <c r="D1440">
        <v>15</v>
      </c>
      <c r="E1440" t="s">
        <v>323</v>
      </c>
      <c r="F1440" s="21">
        <v>37350</v>
      </c>
      <c r="G1440" s="24" t="s">
        <v>312</v>
      </c>
      <c r="H1440" t="s">
        <v>296</v>
      </c>
      <c r="I1440" t="s">
        <v>337</v>
      </c>
      <c r="J1440" t="s">
        <v>332</v>
      </c>
      <c r="K1440" t="s">
        <v>338</v>
      </c>
    </row>
    <row r="1441" spans="1:11" x14ac:dyDescent="0.2">
      <c r="A1441">
        <v>8</v>
      </c>
      <c r="B1441" s="21">
        <v>46033</v>
      </c>
      <c r="C1441" t="s">
        <v>328</v>
      </c>
      <c r="D1441">
        <v>15</v>
      </c>
      <c r="E1441" t="s">
        <v>323</v>
      </c>
      <c r="F1441" s="21">
        <v>37350</v>
      </c>
      <c r="G1441" s="24" t="s">
        <v>312</v>
      </c>
      <c r="H1441" t="s">
        <v>295</v>
      </c>
      <c r="I1441" t="s">
        <v>344</v>
      </c>
      <c r="J1441" t="s">
        <v>330</v>
      </c>
      <c r="K1441" t="s">
        <v>338</v>
      </c>
    </row>
    <row r="1442" spans="1:11" x14ac:dyDescent="0.2">
      <c r="A1442">
        <v>8</v>
      </c>
      <c r="B1442" s="21">
        <v>46033</v>
      </c>
      <c r="C1442" t="s">
        <v>328</v>
      </c>
      <c r="D1442">
        <v>15</v>
      </c>
      <c r="E1442" t="s">
        <v>323</v>
      </c>
      <c r="F1442" s="21">
        <v>37350</v>
      </c>
      <c r="G1442" s="24" t="s">
        <v>312</v>
      </c>
      <c r="H1442" t="s">
        <v>296</v>
      </c>
      <c r="I1442" t="s">
        <v>329</v>
      </c>
      <c r="J1442" t="s">
        <v>330</v>
      </c>
      <c r="K1442" t="s">
        <v>338</v>
      </c>
    </row>
    <row r="1443" spans="1:11" x14ac:dyDescent="0.2">
      <c r="A1443">
        <v>8</v>
      </c>
      <c r="B1443" s="21">
        <v>46033</v>
      </c>
      <c r="C1443" t="s">
        <v>328</v>
      </c>
      <c r="D1443">
        <v>15</v>
      </c>
      <c r="E1443" t="s">
        <v>323</v>
      </c>
      <c r="F1443" s="21">
        <v>37350</v>
      </c>
      <c r="G1443" s="24" t="s">
        <v>312</v>
      </c>
      <c r="H1443" t="s">
        <v>293</v>
      </c>
      <c r="I1443" t="s">
        <v>329</v>
      </c>
      <c r="J1443" t="s">
        <v>330</v>
      </c>
      <c r="K1443" t="s">
        <v>336</v>
      </c>
    </row>
    <row r="1444" spans="1:11" x14ac:dyDescent="0.2">
      <c r="A1444">
        <v>8</v>
      </c>
      <c r="B1444" s="21">
        <v>46033</v>
      </c>
      <c r="C1444" t="s">
        <v>328</v>
      </c>
      <c r="D1444">
        <v>15</v>
      </c>
      <c r="E1444" t="s">
        <v>323</v>
      </c>
      <c r="F1444" s="21">
        <v>37350</v>
      </c>
      <c r="G1444" s="24" t="s">
        <v>312</v>
      </c>
      <c r="H1444" t="s">
        <v>279</v>
      </c>
      <c r="I1444" t="s">
        <v>329</v>
      </c>
      <c r="J1444" t="s">
        <v>330</v>
      </c>
      <c r="K1444" t="s">
        <v>346</v>
      </c>
    </row>
    <row r="1445" spans="1:11" x14ac:dyDescent="0.2">
      <c r="A1445">
        <v>8</v>
      </c>
      <c r="B1445" s="21">
        <v>46033</v>
      </c>
      <c r="C1445" t="s">
        <v>328</v>
      </c>
      <c r="D1445">
        <v>15</v>
      </c>
      <c r="E1445" t="s">
        <v>323</v>
      </c>
      <c r="F1445" s="21">
        <v>37350</v>
      </c>
      <c r="G1445" s="24" t="s">
        <v>312</v>
      </c>
      <c r="H1445" t="s">
        <v>293</v>
      </c>
      <c r="I1445" t="s">
        <v>261</v>
      </c>
      <c r="J1445" t="s">
        <v>330</v>
      </c>
      <c r="K1445" t="s">
        <v>346</v>
      </c>
    </row>
    <row r="1446" spans="1:11" x14ac:dyDescent="0.2">
      <c r="A1446">
        <v>8</v>
      </c>
      <c r="B1446" s="21">
        <v>46033</v>
      </c>
      <c r="C1446" t="s">
        <v>328</v>
      </c>
      <c r="D1446">
        <v>15</v>
      </c>
      <c r="E1446" t="s">
        <v>323</v>
      </c>
      <c r="F1446" s="21">
        <v>37350</v>
      </c>
      <c r="G1446" s="24" t="s">
        <v>312</v>
      </c>
      <c r="H1446" t="s">
        <v>279</v>
      </c>
      <c r="I1446" t="s">
        <v>348</v>
      </c>
      <c r="J1446" t="s">
        <v>332</v>
      </c>
      <c r="K1446" t="s">
        <v>346</v>
      </c>
    </row>
    <row r="1447" spans="1:11" x14ac:dyDescent="0.2">
      <c r="A1447">
        <v>8</v>
      </c>
      <c r="B1447" s="21">
        <v>46033</v>
      </c>
      <c r="C1447" t="s">
        <v>328</v>
      </c>
      <c r="D1447">
        <v>15</v>
      </c>
      <c r="E1447" t="s">
        <v>323</v>
      </c>
      <c r="F1447" s="21">
        <v>37350</v>
      </c>
      <c r="G1447" s="24" t="s">
        <v>312</v>
      </c>
      <c r="H1447" t="s">
        <v>290</v>
      </c>
      <c r="I1447" t="s">
        <v>329</v>
      </c>
      <c r="J1447" t="s">
        <v>332</v>
      </c>
      <c r="K1447" t="s">
        <v>331</v>
      </c>
    </row>
    <row r="1448" spans="1:11" x14ac:dyDescent="0.2">
      <c r="A1448">
        <v>8</v>
      </c>
      <c r="B1448" s="21">
        <v>46033</v>
      </c>
      <c r="C1448" t="s">
        <v>328</v>
      </c>
      <c r="D1448">
        <v>15</v>
      </c>
      <c r="E1448" t="s">
        <v>323</v>
      </c>
      <c r="F1448" s="21">
        <v>37350</v>
      </c>
      <c r="G1448" s="24" t="s">
        <v>312</v>
      </c>
      <c r="H1448" t="s">
        <v>294</v>
      </c>
      <c r="I1448" t="s">
        <v>337</v>
      </c>
      <c r="J1448" t="s">
        <v>332</v>
      </c>
      <c r="K1448" t="s">
        <v>342</v>
      </c>
    </row>
    <row r="1449" spans="1:11" x14ac:dyDescent="0.2">
      <c r="A1449">
        <v>8</v>
      </c>
      <c r="B1449" s="21">
        <v>46033</v>
      </c>
      <c r="C1449" t="s">
        <v>328</v>
      </c>
      <c r="D1449">
        <v>15</v>
      </c>
      <c r="E1449" t="s">
        <v>323</v>
      </c>
      <c r="F1449" s="21">
        <v>37350</v>
      </c>
      <c r="G1449" s="24" t="s">
        <v>312</v>
      </c>
      <c r="H1449" t="s">
        <v>294</v>
      </c>
      <c r="I1449" t="s">
        <v>334</v>
      </c>
      <c r="J1449" t="s">
        <v>330</v>
      </c>
      <c r="K1449" t="s">
        <v>342</v>
      </c>
    </row>
    <row r="1450" spans="1:11" x14ac:dyDescent="0.2">
      <c r="A1450">
        <v>8</v>
      </c>
      <c r="B1450" s="21">
        <v>46033</v>
      </c>
      <c r="C1450" t="s">
        <v>328</v>
      </c>
      <c r="D1450">
        <v>15</v>
      </c>
      <c r="E1450" t="s">
        <v>323</v>
      </c>
      <c r="F1450" s="21">
        <v>37350</v>
      </c>
      <c r="G1450" s="24" t="s">
        <v>312</v>
      </c>
      <c r="H1450" t="s">
        <v>306</v>
      </c>
      <c r="I1450" t="s">
        <v>344</v>
      </c>
      <c r="J1450" t="s">
        <v>330</v>
      </c>
      <c r="K1450" t="s">
        <v>336</v>
      </c>
    </row>
    <row r="1451" spans="1:11" x14ac:dyDescent="0.2">
      <c r="A1451">
        <v>8</v>
      </c>
      <c r="B1451" s="21">
        <v>46033</v>
      </c>
      <c r="C1451" t="s">
        <v>328</v>
      </c>
      <c r="D1451">
        <v>15</v>
      </c>
      <c r="E1451" t="s">
        <v>323</v>
      </c>
      <c r="F1451" s="21">
        <v>37350</v>
      </c>
      <c r="G1451" s="24" t="s">
        <v>312</v>
      </c>
      <c r="H1451" t="s">
        <v>294</v>
      </c>
      <c r="I1451" t="s">
        <v>341</v>
      </c>
      <c r="J1451" t="s">
        <v>330</v>
      </c>
      <c r="K1451" t="s">
        <v>331</v>
      </c>
    </row>
    <row r="1452" spans="1:11" x14ac:dyDescent="0.2">
      <c r="A1452">
        <v>8</v>
      </c>
      <c r="B1452" s="21">
        <v>46033</v>
      </c>
      <c r="C1452" t="s">
        <v>328</v>
      </c>
      <c r="D1452">
        <v>15</v>
      </c>
      <c r="E1452" t="s">
        <v>323</v>
      </c>
      <c r="F1452" s="21">
        <v>37350</v>
      </c>
      <c r="G1452" s="24" t="s">
        <v>312</v>
      </c>
      <c r="H1452" t="s">
        <v>293</v>
      </c>
      <c r="I1452" t="s">
        <v>329</v>
      </c>
      <c r="J1452" t="s">
        <v>330</v>
      </c>
      <c r="K1452" t="s">
        <v>336</v>
      </c>
    </row>
    <row r="1453" spans="1:11" x14ac:dyDescent="0.2">
      <c r="A1453">
        <v>8</v>
      </c>
      <c r="B1453" s="21">
        <v>46033</v>
      </c>
      <c r="C1453" t="s">
        <v>328</v>
      </c>
      <c r="D1453">
        <v>15</v>
      </c>
      <c r="E1453" t="s">
        <v>323</v>
      </c>
      <c r="F1453" s="21">
        <v>37350</v>
      </c>
      <c r="G1453" s="24" t="s">
        <v>312</v>
      </c>
      <c r="H1453" t="s">
        <v>293</v>
      </c>
      <c r="I1453" t="s">
        <v>329</v>
      </c>
      <c r="J1453" t="s">
        <v>330</v>
      </c>
      <c r="K1453" t="s">
        <v>336</v>
      </c>
    </row>
    <row r="1454" spans="1:11" x14ac:dyDescent="0.2">
      <c r="A1454">
        <v>8</v>
      </c>
      <c r="B1454" s="21">
        <v>46033</v>
      </c>
      <c r="C1454" t="s">
        <v>328</v>
      </c>
      <c r="D1454">
        <v>15</v>
      </c>
      <c r="E1454" t="s">
        <v>323</v>
      </c>
      <c r="F1454" s="21">
        <v>37350</v>
      </c>
      <c r="G1454" s="24" t="s">
        <v>312</v>
      </c>
      <c r="H1454" t="s">
        <v>294</v>
      </c>
      <c r="I1454" t="s">
        <v>341</v>
      </c>
      <c r="J1454" t="s">
        <v>332</v>
      </c>
      <c r="K1454" t="s">
        <v>331</v>
      </c>
    </row>
    <row r="1455" spans="1:11" x14ac:dyDescent="0.2">
      <c r="A1455">
        <v>8</v>
      </c>
      <c r="B1455" s="21">
        <v>46033</v>
      </c>
      <c r="C1455" t="s">
        <v>328</v>
      </c>
      <c r="D1455">
        <v>15</v>
      </c>
      <c r="E1455" t="s">
        <v>323</v>
      </c>
      <c r="F1455" s="21">
        <v>37350</v>
      </c>
      <c r="G1455" s="24" t="s">
        <v>313</v>
      </c>
      <c r="H1455" t="s">
        <v>294</v>
      </c>
      <c r="I1455" t="s">
        <v>341</v>
      </c>
      <c r="J1455" t="s">
        <v>330</v>
      </c>
      <c r="K1455" t="s">
        <v>331</v>
      </c>
    </row>
    <row r="1456" spans="1:11" x14ac:dyDescent="0.2">
      <c r="A1456">
        <v>8</v>
      </c>
      <c r="B1456" s="21">
        <v>46033</v>
      </c>
      <c r="C1456" t="s">
        <v>328</v>
      </c>
      <c r="D1456">
        <v>15</v>
      </c>
      <c r="E1456" t="s">
        <v>323</v>
      </c>
      <c r="F1456" s="21">
        <v>37350</v>
      </c>
      <c r="G1456" s="24" t="s">
        <v>313</v>
      </c>
      <c r="H1456" t="s">
        <v>306</v>
      </c>
      <c r="I1456" t="s">
        <v>329</v>
      </c>
      <c r="J1456" t="s">
        <v>330</v>
      </c>
    </row>
    <row r="1457" spans="1:11" x14ac:dyDescent="0.2">
      <c r="A1457">
        <v>8</v>
      </c>
      <c r="B1457" s="21">
        <v>46033</v>
      </c>
      <c r="C1457" t="s">
        <v>328</v>
      </c>
      <c r="D1457">
        <v>15</v>
      </c>
      <c r="E1457" t="s">
        <v>323</v>
      </c>
      <c r="F1457" s="21">
        <v>37350</v>
      </c>
      <c r="G1457" s="24" t="s">
        <v>313</v>
      </c>
      <c r="H1457" t="s">
        <v>293</v>
      </c>
      <c r="I1457" t="s">
        <v>341</v>
      </c>
      <c r="J1457" t="s">
        <v>330</v>
      </c>
      <c r="K1457" t="s">
        <v>346</v>
      </c>
    </row>
    <row r="1458" spans="1:11" x14ac:dyDescent="0.2">
      <c r="A1458">
        <v>8</v>
      </c>
      <c r="B1458" s="21">
        <v>46033</v>
      </c>
      <c r="C1458" t="s">
        <v>328</v>
      </c>
      <c r="D1458">
        <v>15</v>
      </c>
      <c r="E1458" t="s">
        <v>323</v>
      </c>
      <c r="F1458" s="21">
        <v>37350</v>
      </c>
      <c r="G1458" s="24" t="s">
        <v>313</v>
      </c>
      <c r="H1458" t="s">
        <v>294</v>
      </c>
      <c r="I1458" t="s">
        <v>329</v>
      </c>
      <c r="J1458" t="s">
        <v>330</v>
      </c>
      <c r="K1458" t="s">
        <v>331</v>
      </c>
    </row>
    <row r="1459" spans="1:11" x14ac:dyDescent="0.2">
      <c r="A1459">
        <v>8</v>
      </c>
      <c r="B1459" s="21">
        <v>46033</v>
      </c>
      <c r="C1459" t="s">
        <v>328</v>
      </c>
      <c r="D1459">
        <v>15</v>
      </c>
      <c r="E1459" t="s">
        <v>323</v>
      </c>
      <c r="F1459" s="21">
        <v>37350</v>
      </c>
      <c r="G1459" s="24" t="s">
        <v>313</v>
      </c>
      <c r="H1459" t="s">
        <v>294</v>
      </c>
      <c r="I1459" t="s">
        <v>329</v>
      </c>
      <c r="J1459" t="s">
        <v>330</v>
      </c>
      <c r="K1459" t="s">
        <v>342</v>
      </c>
    </row>
    <row r="1460" spans="1:11" x14ac:dyDescent="0.2">
      <c r="A1460">
        <v>8</v>
      </c>
      <c r="B1460" s="21">
        <v>46033</v>
      </c>
      <c r="C1460" t="s">
        <v>328</v>
      </c>
      <c r="D1460">
        <v>15</v>
      </c>
      <c r="E1460" t="s">
        <v>323</v>
      </c>
      <c r="F1460" s="21">
        <v>37350</v>
      </c>
      <c r="G1460" s="24" t="s">
        <v>313</v>
      </c>
      <c r="H1460" t="s">
        <v>306</v>
      </c>
      <c r="I1460" t="s">
        <v>329</v>
      </c>
      <c r="J1460" t="s">
        <v>332</v>
      </c>
      <c r="K1460" t="s">
        <v>333</v>
      </c>
    </row>
    <row r="1461" spans="1:11" x14ac:dyDescent="0.2">
      <c r="A1461">
        <v>8</v>
      </c>
      <c r="B1461" s="21">
        <v>46033</v>
      </c>
      <c r="C1461" t="s">
        <v>328</v>
      </c>
      <c r="D1461">
        <v>15</v>
      </c>
      <c r="E1461" t="s">
        <v>323</v>
      </c>
      <c r="F1461" s="21">
        <v>37350</v>
      </c>
      <c r="G1461" s="24" t="s">
        <v>313</v>
      </c>
      <c r="H1461" t="s">
        <v>292</v>
      </c>
      <c r="I1461" t="s">
        <v>337</v>
      </c>
      <c r="J1461" t="s">
        <v>330</v>
      </c>
      <c r="K1461" t="s">
        <v>331</v>
      </c>
    </row>
    <row r="1462" spans="1:11" x14ac:dyDescent="0.2">
      <c r="A1462">
        <v>8</v>
      </c>
      <c r="B1462" s="21">
        <v>46033</v>
      </c>
      <c r="C1462" t="s">
        <v>328</v>
      </c>
      <c r="D1462">
        <v>15</v>
      </c>
      <c r="E1462" t="s">
        <v>323</v>
      </c>
      <c r="F1462" s="21">
        <v>37350</v>
      </c>
      <c r="G1462" s="24" t="s">
        <v>313</v>
      </c>
      <c r="H1462" t="s">
        <v>292</v>
      </c>
      <c r="I1462" t="s">
        <v>329</v>
      </c>
      <c r="J1462" t="s">
        <v>330</v>
      </c>
      <c r="K1462" t="s">
        <v>331</v>
      </c>
    </row>
    <row r="1463" spans="1:11" x14ac:dyDescent="0.2">
      <c r="A1463">
        <v>8</v>
      </c>
      <c r="B1463" s="21">
        <v>46033</v>
      </c>
      <c r="C1463" t="s">
        <v>328</v>
      </c>
      <c r="D1463">
        <v>15</v>
      </c>
      <c r="E1463" t="s">
        <v>323</v>
      </c>
      <c r="F1463" s="21">
        <v>37350</v>
      </c>
      <c r="G1463" s="24" t="s">
        <v>313</v>
      </c>
      <c r="H1463" t="s">
        <v>294</v>
      </c>
      <c r="I1463" t="s">
        <v>345</v>
      </c>
      <c r="J1463" t="s">
        <v>332</v>
      </c>
      <c r="K1463" t="s">
        <v>342</v>
      </c>
    </row>
    <row r="1464" spans="1:11" x14ac:dyDescent="0.2">
      <c r="A1464">
        <v>8</v>
      </c>
      <c r="B1464" s="21">
        <v>46033</v>
      </c>
      <c r="C1464" t="s">
        <v>328</v>
      </c>
      <c r="D1464">
        <v>15</v>
      </c>
      <c r="E1464" t="s">
        <v>323</v>
      </c>
      <c r="F1464" s="21">
        <v>37350</v>
      </c>
      <c r="G1464" s="24" t="s">
        <v>313</v>
      </c>
      <c r="H1464" t="s">
        <v>294</v>
      </c>
      <c r="I1464" t="s">
        <v>329</v>
      </c>
      <c r="J1464" t="s">
        <v>330</v>
      </c>
      <c r="K1464" t="s">
        <v>331</v>
      </c>
    </row>
    <row r="1465" spans="1:11" x14ac:dyDescent="0.2">
      <c r="A1465">
        <v>8</v>
      </c>
      <c r="B1465" s="21">
        <v>46033</v>
      </c>
      <c r="C1465" t="s">
        <v>328</v>
      </c>
      <c r="D1465">
        <v>15</v>
      </c>
      <c r="E1465" t="s">
        <v>323</v>
      </c>
      <c r="F1465" s="21">
        <v>37350</v>
      </c>
      <c r="G1465" s="24" t="s">
        <v>313</v>
      </c>
      <c r="H1465" t="s">
        <v>292</v>
      </c>
      <c r="I1465" t="s">
        <v>337</v>
      </c>
      <c r="J1465" t="s">
        <v>330</v>
      </c>
    </row>
    <row r="1466" spans="1:11" x14ac:dyDescent="0.2">
      <c r="A1466">
        <v>8</v>
      </c>
      <c r="B1466" s="21">
        <v>46033</v>
      </c>
      <c r="C1466" t="s">
        <v>328</v>
      </c>
      <c r="D1466">
        <v>15</v>
      </c>
      <c r="E1466" t="s">
        <v>323</v>
      </c>
      <c r="F1466" s="21">
        <v>37350</v>
      </c>
      <c r="G1466" s="24" t="s">
        <v>313</v>
      </c>
      <c r="H1466" t="s">
        <v>296</v>
      </c>
      <c r="I1466" t="s">
        <v>339</v>
      </c>
      <c r="J1466" t="s">
        <v>330</v>
      </c>
      <c r="K1466" t="s">
        <v>342</v>
      </c>
    </row>
    <row r="1467" spans="1:11" x14ac:dyDescent="0.2">
      <c r="A1467">
        <v>8</v>
      </c>
      <c r="B1467" s="21">
        <v>46033</v>
      </c>
      <c r="C1467" t="s">
        <v>328</v>
      </c>
      <c r="D1467">
        <v>15</v>
      </c>
      <c r="E1467" t="s">
        <v>323</v>
      </c>
      <c r="F1467" s="21">
        <v>37350</v>
      </c>
      <c r="G1467" s="24" t="s">
        <v>313</v>
      </c>
      <c r="H1467" t="s">
        <v>306</v>
      </c>
      <c r="I1467" t="s">
        <v>329</v>
      </c>
      <c r="J1467" t="s">
        <v>332</v>
      </c>
      <c r="K1467" t="s">
        <v>333</v>
      </c>
    </row>
    <row r="1468" spans="1:11" x14ac:dyDescent="0.2">
      <c r="A1468">
        <v>8</v>
      </c>
      <c r="B1468" s="21">
        <v>46033</v>
      </c>
      <c r="C1468" t="s">
        <v>328</v>
      </c>
      <c r="D1468">
        <v>15</v>
      </c>
      <c r="E1468" t="s">
        <v>323</v>
      </c>
      <c r="F1468" s="21">
        <v>37350</v>
      </c>
      <c r="G1468" s="24" t="s">
        <v>313</v>
      </c>
      <c r="H1468" t="s">
        <v>292</v>
      </c>
      <c r="I1468" t="s">
        <v>337</v>
      </c>
      <c r="J1468" t="s">
        <v>330</v>
      </c>
      <c r="K1468" t="s">
        <v>333</v>
      </c>
    </row>
    <row r="1469" spans="1:11" x14ac:dyDescent="0.2">
      <c r="A1469">
        <v>8</v>
      </c>
      <c r="B1469" s="21">
        <v>46033</v>
      </c>
      <c r="C1469" t="s">
        <v>328</v>
      </c>
      <c r="D1469">
        <v>15</v>
      </c>
      <c r="E1469" t="s">
        <v>323</v>
      </c>
      <c r="F1469" s="21">
        <v>37350</v>
      </c>
      <c r="G1469" s="24" t="s">
        <v>313</v>
      </c>
      <c r="H1469" t="s">
        <v>306</v>
      </c>
      <c r="I1469" t="s">
        <v>329</v>
      </c>
      <c r="J1469" t="s">
        <v>330</v>
      </c>
      <c r="K1469" t="s">
        <v>346</v>
      </c>
    </row>
    <row r="1470" spans="1:11" x14ac:dyDescent="0.2">
      <c r="A1470">
        <v>8</v>
      </c>
      <c r="B1470" s="21">
        <v>46033</v>
      </c>
      <c r="C1470" t="s">
        <v>328</v>
      </c>
      <c r="D1470">
        <v>15</v>
      </c>
      <c r="E1470" t="s">
        <v>323</v>
      </c>
      <c r="F1470" s="21">
        <v>37350</v>
      </c>
      <c r="G1470" s="24" t="s">
        <v>313</v>
      </c>
      <c r="H1470" t="s">
        <v>279</v>
      </c>
      <c r="I1470" t="s">
        <v>337</v>
      </c>
      <c r="J1470" t="s">
        <v>330</v>
      </c>
      <c r="K1470" t="s">
        <v>333</v>
      </c>
    </row>
    <row r="1471" spans="1:11" x14ac:dyDescent="0.2">
      <c r="A1471">
        <v>8</v>
      </c>
      <c r="B1471" s="21">
        <v>46033</v>
      </c>
      <c r="C1471" t="s">
        <v>328</v>
      </c>
      <c r="D1471">
        <v>15</v>
      </c>
      <c r="E1471" t="s">
        <v>323</v>
      </c>
      <c r="F1471" s="21">
        <v>37350</v>
      </c>
      <c r="G1471" s="24" t="s">
        <v>313</v>
      </c>
      <c r="H1471" t="s">
        <v>279</v>
      </c>
      <c r="I1471" t="s">
        <v>344</v>
      </c>
      <c r="J1471" t="s">
        <v>330</v>
      </c>
      <c r="K1471" t="s">
        <v>333</v>
      </c>
    </row>
    <row r="1472" spans="1:11" x14ac:dyDescent="0.2">
      <c r="A1472">
        <v>8</v>
      </c>
      <c r="B1472" s="21">
        <v>46033</v>
      </c>
      <c r="C1472" t="s">
        <v>328</v>
      </c>
      <c r="D1472">
        <v>15</v>
      </c>
      <c r="E1472" t="s">
        <v>323</v>
      </c>
      <c r="F1472" s="21">
        <v>37350</v>
      </c>
      <c r="G1472" s="24" t="s">
        <v>313</v>
      </c>
      <c r="H1472" t="s">
        <v>294</v>
      </c>
      <c r="I1472" t="s">
        <v>348</v>
      </c>
      <c r="J1472" t="s">
        <v>332</v>
      </c>
      <c r="K1472" t="s">
        <v>333</v>
      </c>
    </row>
    <row r="1473" spans="1:11" x14ac:dyDescent="0.2">
      <c r="A1473">
        <v>8</v>
      </c>
      <c r="B1473" s="21">
        <v>46033</v>
      </c>
      <c r="C1473" t="s">
        <v>328</v>
      </c>
      <c r="D1473">
        <v>15</v>
      </c>
      <c r="E1473" t="s">
        <v>323</v>
      </c>
      <c r="F1473" s="21">
        <v>37350</v>
      </c>
      <c r="G1473" s="24" t="s">
        <v>313</v>
      </c>
      <c r="H1473" t="s">
        <v>295</v>
      </c>
      <c r="I1473" t="s">
        <v>345</v>
      </c>
      <c r="J1473" t="s">
        <v>332</v>
      </c>
      <c r="K1473" t="s">
        <v>338</v>
      </c>
    </row>
    <row r="1474" spans="1:11" x14ac:dyDescent="0.2">
      <c r="A1474">
        <v>8</v>
      </c>
      <c r="B1474" s="21">
        <v>46033</v>
      </c>
      <c r="C1474" t="s">
        <v>328</v>
      </c>
      <c r="D1474">
        <v>15</v>
      </c>
      <c r="E1474" t="s">
        <v>323</v>
      </c>
      <c r="F1474" s="21">
        <v>37350</v>
      </c>
      <c r="G1474" s="24" t="s">
        <v>313</v>
      </c>
      <c r="H1474" t="s">
        <v>296</v>
      </c>
      <c r="I1474" t="s">
        <v>341</v>
      </c>
      <c r="K1474" t="s">
        <v>338</v>
      </c>
    </row>
    <row r="1475" spans="1:11" x14ac:dyDescent="0.2">
      <c r="A1475">
        <v>8</v>
      </c>
      <c r="B1475" s="21">
        <v>46033</v>
      </c>
      <c r="C1475" t="s">
        <v>328</v>
      </c>
      <c r="D1475">
        <v>15</v>
      </c>
      <c r="E1475" t="s">
        <v>323</v>
      </c>
      <c r="F1475" s="21">
        <v>37350</v>
      </c>
      <c r="G1475" s="24" t="s">
        <v>313</v>
      </c>
      <c r="H1475" t="s">
        <v>294</v>
      </c>
      <c r="I1475" t="s">
        <v>329</v>
      </c>
      <c r="J1475" t="s">
        <v>330</v>
      </c>
      <c r="K1475" t="s">
        <v>338</v>
      </c>
    </row>
    <row r="1476" spans="1:11" x14ac:dyDescent="0.2">
      <c r="A1476">
        <v>8</v>
      </c>
      <c r="B1476" s="21">
        <v>46033</v>
      </c>
      <c r="C1476" t="s">
        <v>328</v>
      </c>
      <c r="D1476">
        <v>15</v>
      </c>
      <c r="E1476" t="s">
        <v>323</v>
      </c>
      <c r="F1476" s="21">
        <v>37350</v>
      </c>
      <c r="G1476" s="24" t="s">
        <v>313</v>
      </c>
      <c r="H1476" t="s">
        <v>296</v>
      </c>
      <c r="I1476" t="s">
        <v>337</v>
      </c>
      <c r="J1476" t="s">
        <v>332</v>
      </c>
      <c r="K1476" t="s">
        <v>338</v>
      </c>
    </row>
    <row r="1477" spans="1:11" x14ac:dyDescent="0.2">
      <c r="A1477">
        <v>8</v>
      </c>
      <c r="B1477" s="21">
        <v>46033</v>
      </c>
      <c r="C1477" t="s">
        <v>328</v>
      </c>
      <c r="D1477">
        <v>15</v>
      </c>
      <c r="E1477" t="s">
        <v>323</v>
      </c>
      <c r="F1477" s="21">
        <v>37350</v>
      </c>
      <c r="G1477" s="24" t="s">
        <v>313</v>
      </c>
      <c r="H1477" t="s">
        <v>283</v>
      </c>
      <c r="I1477" t="s">
        <v>329</v>
      </c>
      <c r="J1477" t="s">
        <v>330</v>
      </c>
      <c r="K1477" t="s">
        <v>335</v>
      </c>
    </row>
    <row r="1478" spans="1:11" x14ac:dyDescent="0.2">
      <c r="A1478">
        <v>8</v>
      </c>
      <c r="B1478" s="21">
        <v>46033</v>
      </c>
      <c r="C1478" t="s">
        <v>328</v>
      </c>
      <c r="D1478">
        <v>15</v>
      </c>
      <c r="E1478" t="s">
        <v>323</v>
      </c>
      <c r="F1478" s="21">
        <v>37350</v>
      </c>
      <c r="G1478" s="24" t="s">
        <v>313</v>
      </c>
      <c r="H1478" t="s">
        <v>306</v>
      </c>
      <c r="I1478" t="s">
        <v>329</v>
      </c>
      <c r="J1478" t="s">
        <v>332</v>
      </c>
      <c r="K1478" t="s">
        <v>336</v>
      </c>
    </row>
    <row r="1479" spans="1:11" x14ac:dyDescent="0.2">
      <c r="A1479">
        <v>8</v>
      </c>
      <c r="B1479" s="21">
        <v>46033</v>
      </c>
      <c r="C1479" t="s">
        <v>328</v>
      </c>
      <c r="D1479">
        <v>15</v>
      </c>
      <c r="E1479" t="s">
        <v>323</v>
      </c>
      <c r="F1479" s="21">
        <v>37350</v>
      </c>
      <c r="G1479" s="24" t="s">
        <v>313</v>
      </c>
      <c r="H1479" t="s">
        <v>306</v>
      </c>
      <c r="I1479" t="s">
        <v>329</v>
      </c>
      <c r="J1479" t="s">
        <v>332</v>
      </c>
    </row>
    <row r="1480" spans="1:11" x14ac:dyDescent="0.2">
      <c r="A1480">
        <v>8</v>
      </c>
      <c r="B1480" s="21">
        <v>46033</v>
      </c>
      <c r="C1480" t="s">
        <v>328</v>
      </c>
      <c r="D1480">
        <v>15</v>
      </c>
      <c r="E1480" t="s">
        <v>323</v>
      </c>
      <c r="F1480" s="21">
        <v>37350</v>
      </c>
      <c r="G1480" s="24" t="s">
        <v>313</v>
      </c>
      <c r="H1480" t="s">
        <v>279</v>
      </c>
      <c r="I1480" t="s">
        <v>337</v>
      </c>
      <c r="J1480" t="s">
        <v>330</v>
      </c>
    </row>
    <row r="1481" spans="1:11" x14ac:dyDescent="0.2">
      <c r="A1481">
        <v>8</v>
      </c>
      <c r="B1481" s="21">
        <v>46033</v>
      </c>
      <c r="C1481" t="s">
        <v>328</v>
      </c>
      <c r="D1481">
        <v>15</v>
      </c>
      <c r="E1481" t="s">
        <v>323</v>
      </c>
      <c r="F1481" s="21">
        <v>37350</v>
      </c>
      <c r="G1481" s="24" t="s">
        <v>313</v>
      </c>
      <c r="H1481" t="s">
        <v>283</v>
      </c>
      <c r="I1481" t="s">
        <v>329</v>
      </c>
      <c r="J1481" t="s">
        <v>330</v>
      </c>
      <c r="K1481" t="s">
        <v>335</v>
      </c>
    </row>
    <row r="1482" spans="1:11" x14ac:dyDescent="0.2">
      <c r="A1482">
        <v>8</v>
      </c>
      <c r="B1482" s="21">
        <v>46033</v>
      </c>
      <c r="C1482" t="s">
        <v>328</v>
      </c>
      <c r="D1482">
        <v>15</v>
      </c>
      <c r="E1482" t="s">
        <v>323</v>
      </c>
      <c r="F1482" s="21">
        <v>37350</v>
      </c>
      <c r="G1482" s="24" t="s">
        <v>313</v>
      </c>
      <c r="H1482" t="s">
        <v>279</v>
      </c>
      <c r="I1482" t="s">
        <v>329</v>
      </c>
      <c r="J1482" t="s">
        <v>330</v>
      </c>
      <c r="K1482" t="s">
        <v>346</v>
      </c>
    </row>
    <row r="1483" spans="1:11" x14ac:dyDescent="0.2">
      <c r="A1483">
        <v>8</v>
      </c>
      <c r="B1483" s="21">
        <v>46033</v>
      </c>
      <c r="C1483" t="s">
        <v>328</v>
      </c>
      <c r="D1483">
        <v>15</v>
      </c>
      <c r="E1483" t="s">
        <v>323</v>
      </c>
      <c r="F1483" s="21">
        <v>37350</v>
      </c>
      <c r="G1483" s="24" t="s">
        <v>313</v>
      </c>
      <c r="H1483" t="s">
        <v>279</v>
      </c>
      <c r="I1483" t="s">
        <v>348</v>
      </c>
      <c r="J1483" t="s">
        <v>332</v>
      </c>
      <c r="K1483" t="s">
        <v>340</v>
      </c>
    </row>
    <row r="1484" spans="1:11" x14ac:dyDescent="0.2">
      <c r="A1484">
        <v>8</v>
      </c>
      <c r="B1484" s="21">
        <v>46033</v>
      </c>
      <c r="C1484" t="s">
        <v>328</v>
      </c>
      <c r="D1484">
        <v>15</v>
      </c>
      <c r="E1484" t="s">
        <v>323</v>
      </c>
      <c r="F1484" s="21">
        <v>37350</v>
      </c>
      <c r="G1484" s="24" t="s">
        <v>313</v>
      </c>
      <c r="H1484" t="s">
        <v>293</v>
      </c>
      <c r="I1484" t="s">
        <v>344</v>
      </c>
      <c r="J1484" t="s">
        <v>330</v>
      </c>
      <c r="K1484" t="s">
        <v>331</v>
      </c>
    </row>
    <row r="1485" spans="1:11" x14ac:dyDescent="0.2">
      <c r="A1485">
        <v>8</v>
      </c>
      <c r="B1485" s="21">
        <v>46033</v>
      </c>
      <c r="C1485" t="s">
        <v>328</v>
      </c>
      <c r="D1485">
        <v>15</v>
      </c>
      <c r="E1485" t="s">
        <v>323</v>
      </c>
      <c r="F1485" s="21">
        <v>37350</v>
      </c>
      <c r="G1485" s="24" t="s">
        <v>313</v>
      </c>
      <c r="H1485" t="s">
        <v>296</v>
      </c>
      <c r="I1485" t="s">
        <v>329</v>
      </c>
      <c r="J1485" t="s">
        <v>330</v>
      </c>
      <c r="K1485" t="s">
        <v>343</v>
      </c>
    </row>
    <row r="1486" spans="1:11" x14ac:dyDescent="0.2">
      <c r="A1486">
        <v>8</v>
      </c>
      <c r="B1486" s="21">
        <v>46033</v>
      </c>
      <c r="C1486" t="s">
        <v>328</v>
      </c>
      <c r="D1486">
        <v>15</v>
      </c>
      <c r="E1486" t="s">
        <v>323</v>
      </c>
      <c r="F1486" s="21">
        <v>37350</v>
      </c>
      <c r="G1486" s="24" t="s">
        <v>313</v>
      </c>
      <c r="H1486" t="s">
        <v>306</v>
      </c>
      <c r="I1486" t="s">
        <v>329</v>
      </c>
      <c r="J1486" t="s">
        <v>332</v>
      </c>
      <c r="K1486" t="s">
        <v>343</v>
      </c>
    </row>
    <row r="1487" spans="1:11" x14ac:dyDescent="0.2">
      <c r="A1487">
        <v>8</v>
      </c>
      <c r="B1487" s="21">
        <v>46033</v>
      </c>
      <c r="C1487" t="s">
        <v>328</v>
      </c>
      <c r="D1487">
        <v>15</v>
      </c>
      <c r="E1487" t="s">
        <v>323</v>
      </c>
      <c r="F1487" s="21">
        <v>37350</v>
      </c>
      <c r="G1487" s="24" t="s">
        <v>313</v>
      </c>
      <c r="H1487" t="s">
        <v>296</v>
      </c>
      <c r="I1487" t="s">
        <v>337</v>
      </c>
      <c r="J1487" t="s">
        <v>330</v>
      </c>
      <c r="K1487" t="s">
        <v>343</v>
      </c>
    </row>
    <row r="1488" spans="1:11" x14ac:dyDescent="0.2">
      <c r="A1488">
        <v>8</v>
      </c>
      <c r="B1488" s="21">
        <v>46033</v>
      </c>
      <c r="C1488" t="s">
        <v>328</v>
      </c>
      <c r="D1488">
        <v>15</v>
      </c>
      <c r="E1488" t="s">
        <v>323</v>
      </c>
      <c r="F1488" s="21">
        <v>37350</v>
      </c>
      <c r="G1488" s="24" t="s">
        <v>313</v>
      </c>
      <c r="H1488" t="s">
        <v>292</v>
      </c>
      <c r="I1488" t="s">
        <v>337</v>
      </c>
      <c r="J1488" t="s">
        <v>332</v>
      </c>
      <c r="K1488" t="s">
        <v>343</v>
      </c>
    </row>
    <row r="1489" spans="1:11" x14ac:dyDescent="0.2">
      <c r="A1489">
        <v>8</v>
      </c>
      <c r="B1489" s="21">
        <v>46033</v>
      </c>
      <c r="C1489" t="s">
        <v>328</v>
      </c>
      <c r="D1489">
        <v>15</v>
      </c>
      <c r="E1489" t="s">
        <v>323</v>
      </c>
      <c r="F1489" s="21">
        <v>37350</v>
      </c>
      <c r="G1489" s="24" t="s">
        <v>313</v>
      </c>
      <c r="H1489" t="s">
        <v>290</v>
      </c>
      <c r="I1489" t="s">
        <v>329</v>
      </c>
      <c r="J1489" t="s">
        <v>330</v>
      </c>
      <c r="K1489" t="s">
        <v>342</v>
      </c>
    </row>
    <row r="1490" spans="1:11" x14ac:dyDescent="0.2">
      <c r="A1490">
        <v>8</v>
      </c>
      <c r="B1490" s="21">
        <v>46033</v>
      </c>
      <c r="C1490" t="s">
        <v>328</v>
      </c>
      <c r="D1490">
        <v>15</v>
      </c>
      <c r="E1490" t="s">
        <v>323</v>
      </c>
      <c r="F1490" s="21">
        <v>37350</v>
      </c>
      <c r="G1490" s="24" t="s">
        <v>313</v>
      </c>
      <c r="H1490" t="s">
        <v>293</v>
      </c>
      <c r="I1490" t="s">
        <v>329</v>
      </c>
      <c r="J1490" t="s">
        <v>330</v>
      </c>
    </row>
    <row r="1491" spans="1:11" x14ac:dyDescent="0.2">
      <c r="A1491">
        <v>8</v>
      </c>
      <c r="B1491" s="21">
        <v>46033</v>
      </c>
      <c r="C1491" t="s">
        <v>328</v>
      </c>
      <c r="D1491">
        <v>15</v>
      </c>
      <c r="E1491" t="s">
        <v>323</v>
      </c>
      <c r="F1491" s="21">
        <v>37350</v>
      </c>
      <c r="G1491" s="24" t="s">
        <v>313</v>
      </c>
      <c r="H1491" t="s">
        <v>293</v>
      </c>
      <c r="I1491" t="s">
        <v>341</v>
      </c>
      <c r="J1491" t="s">
        <v>330</v>
      </c>
    </row>
    <row r="1492" spans="1:11" x14ac:dyDescent="0.2">
      <c r="A1492">
        <v>8</v>
      </c>
      <c r="B1492" s="21">
        <v>46033</v>
      </c>
      <c r="C1492" t="s">
        <v>328</v>
      </c>
      <c r="D1492">
        <v>15</v>
      </c>
      <c r="E1492" t="s">
        <v>323</v>
      </c>
      <c r="F1492" s="21">
        <v>37350</v>
      </c>
      <c r="G1492" s="24" t="s">
        <v>313</v>
      </c>
      <c r="H1492" t="s">
        <v>296</v>
      </c>
      <c r="I1492" t="s">
        <v>329</v>
      </c>
      <c r="J1492" t="s">
        <v>330</v>
      </c>
      <c r="K1492" t="s">
        <v>335</v>
      </c>
    </row>
    <row r="1493" spans="1:11" x14ac:dyDescent="0.2">
      <c r="A1493">
        <v>8</v>
      </c>
      <c r="B1493" s="21">
        <v>46033</v>
      </c>
      <c r="C1493" t="s">
        <v>328</v>
      </c>
      <c r="D1493">
        <v>15</v>
      </c>
      <c r="E1493" t="s">
        <v>323</v>
      </c>
      <c r="F1493" s="21">
        <v>37350</v>
      </c>
      <c r="G1493" s="24" t="s">
        <v>313</v>
      </c>
      <c r="H1493" t="s">
        <v>294</v>
      </c>
      <c r="I1493" t="s">
        <v>341</v>
      </c>
      <c r="J1493" t="s">
        <v>330</v>
      </c>
    </row>
    <row r="1494" spans="1:11" x14ac:dyDescent="0.2">
      <c r="A1494">
        <v>8</v>
      </c>
      <c r="B1494" s="21">
        <v>46033</v>
      </c>
      <c r="C1494" t="s">
        <v>328</v>
      </c>
      <c r="D1494">
        <v>15</v>
      </c>
      <c r="E1494" t="s">
        <v>323</v>
      </c>
      <c r="F1494" s="21">
        <v>37350</v>
      </c>
      <c r="G1494" s="24" t="s">
        <v>314</v>
      </c>
      <c r="H1494" t="s">
        <v>294</v>
      </c>
      <c r="I1494" t="s">
        <v>329</v>
      </c>
      <c r="J1494" t="s">
        <v>330</v>
      </c>
      <c r="K1494" t="s">
        <v>335</v>
      </c>
    </row>
    <row r="1495" spans="1:11" x14ac:dyDescent="0.2">
      <c r="A1495">
        <v>8</v>
      </c>
      <c r="B1495" s="21">
        <v>46033</v>
      </c>
      <c r="C1495" t="s">
        <v>328</v>
      </c>
      <c r="D1495">
        <v>15</v>
      </c>
      <c r="E1495" t="s">
        <v>323</v>
      </c>
      <c r="F1495" s="21">
        <v>37350</v>
      </c>
      <c r="G1495" s="24" t="s">
        <v>314</v>
      </c>
      <c r="H1495" t="s">
        <v>293</v>
      </c>
      <c r="I1495" t="s">
        <v>329</v>
      </c>
      <c r="J1495" t="s">
        <v>330</v>
      </c>
      <c r="K1495" t="s">
        <v>331</v>
      </c>
    </row>
    <row r="1496" spans="1:11" x14ac:dyDescent="0.2">
      <c r="A1496">
        <v>8</v>
      </c>
      <c r="B1496" s="21">
        <v>46033</v>
      </c>
      <c r="C1496" t="s">
        <v>328</v>
      </c>
      <c r="D1496">
        <v>15</v>
      </c>
      <c r="E1496" t="s">
        <v>323</v>
      </c>
      <c r="F1496" s="21">
        <v>37350</v>
      </c>
      <c r="G1496" s="24" t="s">
        <v>314</v>
      </c>
      <c r="H1496" t="s">
        <v>279</v>
      </c>
      <c r="I1496" t="s">
        <v>329</v>
      </c>
      <c r="J1496" t="s">
        <v>330</v>
      </c>
      <c r="K1496" t="s">
        <v>331</v>
      </c>
    </row>
    <row r="1497" spans="1:11" x14ac:dyDescent="0.2">
      <c r="A1497">
        <v>8</v>
      </c>
      <c r="B1497" s="21">
        <v>46033</v>
      </c>
      <c r="C1497" t="s">
        <v>328</v>
      </c>
      <c r="D1497">
        <v>15</v>
      </c>
      <c r="E1497" t="s">
        <v>323</v>
      </c>
      <c r="F1497" s="21">
        <v>37350</v>
      </c>
      <c r="G1497" s="24" t="s">
        <v>314</v>
      </c>
      <c r="H1497" t="s">
        <v>306</v>
      </c>
      <c r="I1497" t="s">
        <v>329</v>
      </c>
      <c r="J1497" t="s">
        <v>330</v>
      </c>
      <c r="K1497" t="s">
        <v>331</v>
      </c>
    </row>
    <row r="1498" spans="1:11" x14ac:dyDescent="0.2">
      <c r="A1498">
        <v>8</v>
      </c>
      <c r="B1498" s="21">
        <v>46033</v>
      </c>
      <c r="C1498" t="s">
        <v>328</v>
      </c>
      <c r="D1498">
        <v>15</v>
      </c>
      <c r="E1498" t="s">
        <v>323</v>
      </c>
      <c r="F1498" s="21">
        <v>37350</v>
      </c>
      <c r="G1498" s="24" t="s">
        <v>314</v>
      </c>
      <c r="H1498" t="s">
        <v>292</v>
      </c>
      <c r="I1498" t="s">
        <v>329</v>
      </c>
      <c r="J1498" t="s">
        <v>330</v>
      </c>
      <c r="K1498" t="s">
        <v>331</v>
      </c>
    </row>
    <row r="1499" spans="1:11" x14ac:dyDescent="0.2">
      <c r="A1499">
        <v>8</v>
      </c>
      <c r="B1499" s="21">
        <v>46033</v>
      </c>
      <c r="C1499" t="s">
        <v>328</v>
      </c>
      <c r="D1499">
        <v>15</v>
      </c>
      <c r="E1499" t="s">
        <v>323</v>
      </c>
      <c r="F1499" s="21">
        <v>37350</v>
      </c>
      <c r="G1499" s="24" t="s">
        <v>314</v>
      </c>
      <c r="H1499" t="s">
        <v>290</v>
      </c>
      <c r="I1499" t="s">
        <v>329</v>
      </c>
      <c r="J1499" t="s">
        <v>330</v>
      </c>
      <c r="K1499" t="s">
        <v>331</v>
      </c>
    </row>
    <row r="1500" spans="1:11" x14ac:dyDescent="0.2">
      <c r="A1500">
        <v>8</v>
      </c>
      <c r="B1500" s="21">
        <v>46033</v>
      </c>
      <c r="C1500" t="s">
        <v>328</v>
      </c>
      <c r="D1500">
        <v>15</v>
      </c>
      <c r="E1500" t="s">
        <v>323</v>
      </c>
      <c r="F1500" s="21">
        <v>37350</v>
      </c>
      <c r="G1500" s="24" t="s">
        <v>314</v>
      </c>
      <c r="H1500" t="s">
        <v>306</v>
      </c>
      <c r="I1500" t="s">
        <v>329</v>
      </c>
      <c r="J1500" t="s">
        <v>330</v>
      </c>
      <c r="K1500" t="s">
        <v>336</v>
      </c>
    </row>
    <row r="1501" spans="1:11" x14ac:dyDescent="0.2">
      <c r="A1501">
        <v>8</v>
      </c>
      <c r="B1501" s="21">
        <v>46033</v>
      </c>
      <c r="C1501" t="s">
        <v>328</v>
      </c>
      <c r="D1501">
        <v>15</v>
      </c>
      <c r="E1501" t="s">
        <v>323</v>
      </c>
      <c r="F1501" s="21">
        <v>37350</v>
      </c>
      <c r="G1501" s="24" t="s">
        <v>314</v>
      </c>
      <c r="H1501" t="s">
        <v>296</v>
      </c>
      <c r="I1501" t="s">
        <v>329</v>
      </c>
      <c r="J1501" t="s">
        <v>330</v>
      </c>
      <c r="K1501" t="s">
        <v>343</v>
      </c>
    </row>
    <row r="1502" spans="1:11" x14ac:dyDescent="0.2">
      <c r="A1502">
        <v>8</v>
      </c>
      <c r="B1502" s="21">
        <v>46033</v>
      </c>
      <c r="C1502" t="s">
        <v>328</v>
      </c>
      <c r="D1502">
        <v>15</v>
      </c>
      <c r="E1502" t="s">
        <v>323</v>
      </c>
      <c r="F1502" s="21">
        <v>37350</v>
      </c>
      <c r="G1502" s="24" t="s">
        <v>314</v>
      </c>
      <c r="H1502" t="s">
        <v>306</v>
      </c>
      <c r="I1502" t="s">
        <v>329</v>
      </c>
      <c r="J1502" t="s">
        <v>330</v>
      </c>
      <c r="K1502" t="s">
        <v>343</v>
      </c>
    </row>
    <row r="1503" spans="1:11" x14ac:dyDescent="0.2">
      <c r="A1503">
        <v>8</v>
      </c>
      <c r="B1503" s="21">
        <v>46033</v>
      </c>
      <c r="C1503" t="s">
        <v>328</v>
      </c>
      <c r="D1503">
        <v>15</v>
      </c>
      <c r="E1503" t="s">
        <v>323</v>
      </c>
      <c r="F1503" s="21">
        <v>37350</v>
      </c>
      <c r="G1503" s="24" t="s">
        <v>314</v>
      </c>
      <c r="H1503" t="s">
        <v>306</v>
      </c>
      <c r="I1503" t="s">
        <v>329</v>
      </c>
      <c r="J1503" t="s">
        <v>330</v>
      </c>
      <c r="K1503" t="s">
        <v>343</v>
      </c>
    </row>
    <row r="1504" spans="1:11" x14ac:dyDescent="0.2">
      <c r="A1504">
        <v>8</v>
      </c>
      <c r="B1504" s="21">
        <v>46033</v>
      </c>
      <c r="C1504" t="s">
        <v>328</v>
      </c>
      <c r="D1504">
        <v>15</v>
      </c>
      <c r="E1504" t="s">
        <v>323</v>
      </c>
      <c r="F1504" s="21">
        <v>37350</v>
      </c>
      <c r="G1504" s="24" t="s">
        <v>314</v>
      </c>
      <c r="H1504" t="s">
        <v>306</v>
      </c>
      <c r="I1504" t="s">
        <v>351</v>
      </c>
      <c r="J1504" t="s">
        <v>330</v>
      </c>
      <c r="K1504" t="s">
        <v>343</v>
      </c>
    </row>
    <row r="1505" spans="1:11" x14ac:dyDescent="0.2">
      <c r="A1505">
        <v>8</v>
      </c>
      <c r="B1505" s="21">
        <v>46033</v>
      </c>
      <c r="C1505" t="s">
        <v>328</v>
      </c>
      <c r="D1505">
        <v>15</v>
      </c>
      <c r="E1505" t="s">
        <v>323</v>
      </c>
      <c r="F1505" s="21">
        <v>37350</v>
      </c>
      <c r="G1505" s="24" t="s">
        <v>314</v>
      </c>
      <c r="H1505" t="s">
        <v>292</v>
      </c>
      <c r="I1505" t="s">
        <v>339</v>
      </c>
      <c r="J1505" t="s">
        <v>332</v>
      </c>
      <c r="K1505" t="s">
        <v>343</v>
      </c>
    </row>
    <row r="1506" spans="1:11" x14ac:dyDescent="0.2">
      <c r="A1506">
        <v>8</v>
      </c>
      <c r="B1506" s="21">
        <v>46033</v>
      </c>
      <c r="C1506" t="s">
        <v>328</v>
      </c>
      <c r="D1506">
        <v>15</v>
      </c>
      <c r="E1506" t="s">
        <v>323</v>
      </c>
      <c r="F1506" s="21">
        <v>37350</v>
      </c>
      <c r="G1506" s="24" t="s">
        <v>314</v>
      </c>
      <c r="H1506" t="s">
        <v>306</v>
      </c>
      <c r="I1506" t="s">
        <v>329</v>
      </c>
      <c r="J1506" t="s">
        <v>330</v>
      </c>
      <c r="K1506" t="s">
        <v>342</v>
      </c>
    </row>
    <row r="1507" spans="1:11" x14ac:dyDescent="0.2">
      <c r="A1507">
        <v>8</v>
      </c>
      <c r="B1507" s="21">
        <v>46033</v>
      </c>
      <c r="C1507" t="s">
        <v>328</v>
      </c>
      <c r="D1507">
        <v>15</v>
      </c>
      <c r="E1507" t="s">
        <v>323</v>
      </c>
      <c r="F1507" s="21">
        <v>37350</v>
      </c>
      <c r="G1507" s="24" t="s">
        <v>314</v>
      </c>
      <c r="H1507" t="s">
        <v>279</v>
      </c>
      <c r="I1507" t="s">
        <v>337</v>
      </c>
      <c r="J1507" t="s">
        <v>330</v>
      </c>
    </row>
    <row r="1508" spans="1:11" x14ac:dyDescent="0.2">
      <c r="A1508">
        <v>8</v>
      </c>
      <c r="B1508" s="21">
        <v>46033</v>
      </c>
      <c r="C1508" t="s">
        <v>328</v>
      </c>
      <c r="D1508">
        <v>15</v>
      </c>
      <c r="E1508" t="s">
        <v>323</v>
      </c>
      <c r="F1508" s="21">
        <v>37350</v>
      </c>
      <c r="G1508" s="24" t="s">
        <v>314</v>
      </c>
      <c r="H1508" t="s">
        <v>293</v>
      </c>
      <c r="I1508" t="s">
        <v>341</v>
      </c>
      <c r="J1508" t="s">
        <v>330</v>
      </c>
    </row>
    <row r="1509" spans="1:11" x14ac:dyDescent="0.2">
      <c r="A1509">
        <v>8</v>
      </c>
      <c r="B1509" s="21">
        <v>46033</v>
      </c>
      <c r="C1509" t="s">
        <v>328</v>
      </c>
      <c r="D1509">
        <v>15</v>
      </c>
      <c r="E1509" t="s">
        <v>323</v>
      </c>
      <c r="F1509" s="21">
        <v>37350</v>
      </c>
      <c r="G1509" s="24" t="s">
        <v>314</v>
      </c>
      <c r="H1509" t="s">
        <v>306</v>
      </c>
      <c r="I1509" t="s">
        <v>329</v>
      </c>
      <c r="J1509" t="s">
        <v>330</v>
      </c>
      <c r="K1509" t="s">
        <v>333</v>
      </c>
    </row>
    <row r="1510" spans="1:11" x14ac:dyDescent="0.2">
      <c r="A1510">
        <v>8</v>
      </c>
      <c r="B1510" s="21">
        <v>46033</v>
      </c>
      <c r="C1510" t="s">
        <v>328</v>
      </c>
      <c r="D1510">
        <v>15</v>
      </c>
      <c r="E1510" t="s">
        <v>323</v>
      </c>
      <c r="F1510" s="21">
        <v>37350</v>
      </c>
      <c r="G1510" s="24" t="s">
        <v>314</v>
      </c>
      <c r="H1510" t="s">
        <v>292</v>
      </c>
      <c r="I1510" t="s">
        <v>329</v>
      </c>
      <c r="J1510" t="s">
        <v>330</v>
      </c>
    </row>
    <row r="1511" spans="1:11" x14ac:dyDescent="0.2">
      <c r="A1511">
        <v>8</v>
      </c>
      <c r="B1511" s="21">
        <v>46033</v>
      </c>
      <c r="C1511" t="s">
        <v>328</v>
      </c>
      <c r="D1511">
        <v>15</v>
      </c>
      <c r="E1511" t="s">
        <v>323</v>
      </c>
      <c r="F1511" s="21">
        <v>37350</v>
      </c>
      <c r="G1511" s="24" t="s">
        <v>314</v>
      </c>
      <c r="H1511" t="s">
        <v>293</v>
      </c>
      <c r="I1511" t="s">
        <v>329</v>
      </c>
    </row>
    <row r="1512" spans="1:11" x14ac:dyDescent="0.2">
      <c r="A1512">
        <v>8</v>
      </c>
      <c r="B1512" s="21">
        <v>46033</v>
      </c>
      <c r="C1512" t="s">
        <v>328</v>
      </c>
      <c r="D1512">
        <v>15</v>
      </c>
      <c r="E1512" t="s">
        <v>323</v>
      </c>
      <c r="F1512" s="21">
        <v>37350</v>
      </c>
      <c r="G1512" s="24" t="s">
        <v>314</v>
      </c>
      <c r="H1512" t="s">
        <v>287</v>
      </c>
      <c r="I1512" t="s">
        <v>329</v>
      </c>
    </row>
    <row r="1513" spans="1:11" x14ac:dyDescent="0.2">
      <c r="A1513">
        <v>8</v>
      </c>
      <c r="B1513" s="21">
        <v>46033</v>
      </c>
      <c r="C1513" t="s">
        <v>328</v>
      </c>
      <c r="D1513">
        <v>15</v>
      </c>
      <c r="E1513" t="s">
        <v>323</v>
      </c>
      <c r="F1513" s="21">
        <v>37350</v>
      </c>
      <c r="G1513" s="24" t="s">
        <v>314</v>
      </c>
      <c r="H1513" t="s">
        <v>283</v>
      </c>
      <c r="I1513" t="s">
        <v>329</v>
      </c>
      <c r="J1513" t="s">
        <v>330</v>
      </c>
      <c r="K1513" t="s">
        <v>335</v>
      </c>
    </row>
    <row r="1514" spans="1:11" x14ac:dyDescent="0.2">
      <c r="A1514">
        <v>8</v>
      </c>
      <c r="B1514" s="21">
        <v>46033</v>
      </c>
      <c r="C1514" t="s">
        <v>328</v>
      </c>
      <c r="D1514">
        <v>15</v>
      </c>
      <c r="E1514" t="s">
        <v>323</v>
      </c>
      <c r="F1514" s="21">
        <v>37350</v>
      </c>
      <c r="G1514" s="24" t="s">
        <v>314</v>
      </c>
      <c r="H1514" t="s">
        <v>293</v>
      </c>
      <c r="I1514" t="s">
        <v>337</v>
      </c>
      <c r="J1514" t="s">
        <v>330</v>
      </c>
      <c r="K1514" t="s">
        <v>335</v>
      </c>
    </row>
    <row r="1515" spans="1:11" x14ac:dyDescent="0.2">
      <c r="A1515">
        <v>8</v>
      </c>
      <c r="B1515" s="21">
        <v>46033</v>
      </c>
      <c r="C1515" t="s">
        <v>328</v>
      </c>
      <c r="D1515">
        <v>15</v>
      </c>
      <c r="E1515" t="s">
        <v>323</v>
      </c>
      <c r="F1515" s="21">
        <v>37350</v>
      </c>
      <c r="G1515" s="24" t="s">
        <v>314</v>
      </c>
      <c r="H1515" t="s">
        <v>296</v>
      </c>
      <c r="I1515" t="s">
        <v>329</v>
      </c>
      <c r="J1515" t="s">
        <v>330</v>
      </c>
      <c r="K1515" t="s">
        <v>335</v>
      </c>
    </row>
    <row r="1516" spans="1:11" x14ac:dyDescent="0.2">
      <c r="A1516">
        <v>8</v>
      </c>
      <c r="B1516" s="21">
        <v>46033</v>
      </c>
      <c r="C1516" t="s">
        <v>328</v>
      </c>
      <c r="D1516">
        <v>15</v>
      </c>
      <c r="E1516" t="s">
        <v>323</v>
      </c>
      <c r="F1516" s="21">
        <v>37350</v>
      </c>
      <c r="G1516" s="24" t="s">
        <v>314</v>
      </c>
      <c r="H1516" t="s">
        <v>293</v>
      </c>
      <c r="I1516" t="s">
        <v>329</v>
      </c>
      <c r="J1516" t="s">
        <v>330</v>
      </c>
      <c r="K1516" t="s">
        <v>331</v>
      </c>
    </row>
    <row r="1517" spans="1:11" x14ac:dyDescent="0.2">
      <c r="A1517">
        <v>8</v>
      </c>
      <c r="B1517" s="21">
        <v>46033</v>
      </c>
      <c r="C1517" t="s">
        <v>328</v>
      </c>
      <c r="D1517">
        <v>15</v>
      </c>
      <c r="E1517" t="s">
        <v>323</v>
      </c>
      <c r="F1517" s="21">
        <v>37350</v>
      </c>
      <c r="G1517" s="24" t="s">
        <v>314</v>
      </c>
      <c r="H1517" t="s">
        <v>279</v>
      </c>
      <c r="I1517" t="s">
        <v>344</v>
      </c>
      <c r="J1517" t="s">
        <v>330</v>
      </c>
      <c r="K1517" t="s">
        <v>331</v>
      </c>
    </row>
    <row r="1518" spans="1:11" x14ac:dyDescent="0.2">
      <c r="A1518">
        <v>8</v>
      </c>
      <c r="B1518" s="21">
        <v>46033</v>
      </c>
      <c r="C1518" t="s">
        <v>328</v>
      </c>
      <c r="D1518">
        <v>15</v>
      </c>
      <c r="E1518" t="s">
        <v>323</v>
      </c>
      <c r="F1518" s="21">
        <v>37350</v>
      </c>
      <c r="G1518" s="24" t="s">
        <v>314</v>
      </c>
      <c r="H1518" t="s">
        <v>294</v>
      </c>
      <c r="I1518" t="s">
        <v>341</v>
      </c>
      <c r="J1518" t="s">
        <v>332</v>
      </c>
      <c r="K1518" t="s">
        <v>331</v>
      </c>
    </row>
    <row r="1519" spans="1:11" x14ac:dyDescent="0.2">
      <c r="A1519">
        <v>8</v>
      </c>
      <c r="B1519" s="21">
        <v>46033</v>
      </c>
      <c r="C1519" t="s">
        <v>328</v>
      </c>
      <c r="D1519">
        <v>15</v>
      </c>
      <c r="E1519" t="s">
        <v>323</v>
      </c>
      <c r="F1519" s="21">
        <v>37350</v>
      </c>
      <c r="G1519" s="24" t="s">
        <v>314</v>
      </c>
      <c r="H1519" t="s">
        <v>294</v>
      </c>
      <c r="I1519" t="s">
        <v>329</v>
      </c>
      <c r="J1519" t="s">
        <v>332</v>
      </c>
      <c r="K1519" t="s">
        <v>342</v>
      </c>
    </row>
    <row r="1520" spans="1:11" x14ac:dyDescent="0.2">
      <c r="A1520">
        <v>8</v>
      </c>
      <c r="B1520" s="21">
        <v>46033</v>
      </c>
      <c r="C1520" t="s">
        <v>328</v>
      </c>
      <c r="D1520">
        <v>15</v>
      </c>
      <c r="E1520" t="s">
        <v>323</v>
      </c>
      <c r="F1520" s="21">
        <v>37350</v>
      </c>
      <c r="G1520" s="24" t="s">
        <v>314</v>
      </c>
      <c r="H1520" t="s">
        <v>292</v>
      </c>
      <c r="I1520" t="s">
        <v>329</v>
      </c>
      <c r="J1520" t="s">
        <v>330</v>
      </c>
      <c r="K1520" t="s">
        <v>331</v>
      </c>
    </row>
    <row r="1521" spans="1:11" x14ac:dyDescent="0.2">
      <c r="A1521">
        <v>8</v>
      </c>
      <c r="B1521" s="21">
        <v>46033</v>
      </c>
      <c r="C1521" t="s">
        <v>328</v>
      </c>
      <c r="D1521">
        <v>15</v>
      </c>
      <c r="E1521" t="s">
        <v>323</v>
      </c>
      <c r="F1521" s="21">
        <v>37350</v>
      </c>
      <c r="G1521" s="24" t="s">
        <v>276</v>
      </c>
      <c r="H1521" t="s">
        <v>294</v>
      </c>
      <c r="I1521" t="s">
        <v>345</v>
      </c>
      <c r="J1521" t="s">
        <v>332</v>
      </c>
      <c r="K1521" t="s">
        <v>342</v>
      </c>
    </row>
    <row r="1522" spans="1:11" x14ac:dyDescent="0.2">
      <c r="A1522">
        <v>8</v>
      </c>
      <c r="B1522" s="21">
        <v>46033</v>
      </c>
      <c r="C1522" t="s">
        <v>328</v>
      </c>
      <c r="D1522">
        <v>15</v>
      </c>
      <c r="E1522" t="s">
        <v>323</v>
      </c>
      <c r="F1522" s="21">
        <v>37350</v>
      </c>
      <c r="G1522" s="24" t="s">
        <v>276</v>
      </c>
      <c r="H1522" t="s">
        <v>295</v>
      </c>
      <c r="I1522" t="s">
        <v>344</v>
      </c>
      <c r="J1522" t="s">
        <v>330</v>
      </c>
      <c r="K1522" t="s">
        <v>338</v>
      </c>
    </row>
    <row r="1523" spans="1:11" x14ac:dyDescent="0.2">
      <c r="A1523">
        <v>8</v>
      </c>
      <c r="B1523" s="21">
        <v>46033</v>
      </c>
      <c r="C1523" t="s">
        <v>328</v>
      </c>
      <c r="D1523">
        <v>15</v>
      </c>
      <c r="E1523" t="s">
        <v>323</v>
      </c>
      <c r="F1523" s="21">
        <v>37350</v>
      </c>
      <c r="G1523" s="24" t="s">
        <v>276</v>
      </c>
      <c r="H1523" t="s">
        <v>293</v>
      </c>
      <c r="I1523" t="s">
        <v>329</v>
      </c>
      <c r="J1523" t="s">
        <v>330</v>
      </c>
      <c r="K1523" t="s">
        <v>333</v>
      </c>
    </row>
    <row r="1524" spans="1:11" x14ac:dyDescent="0.2">
      <c r="A1524">
        <v>8</v>
      </c>
      <c r="B1524" s="21">
        <v>46033</v>
      </c>
      <c r="C1524" t="s">
        <v>328</v>
      </c>
      <c r="D1524">
        <v>15</v>
      </c>
      <c r="E1524" t="s">
        <v>323</v>
      </c>
      <c r="F1524" s="21">
        <v>37350</v>
      </c>
      <c r="G1524" s="24" t="s">
        <v>276</v>
      </c>
      <c r="H1524" t="s">
        <v>292</v>
      </c>
      <c r="I1524" t="s">
        <v>344</v>
      </c>
      <c r="J1524" t="s">
        <v>330</v>
      </c>
      <c r="K1524" t="s">
        <v>331</v>
      </c>
    </row>
    <row r="1525" spans="1:11" x14ac:dyDescent="0.2">
      <c r="A1525">
        <v>8</v>
      </c>
      <c r="B1525" s="21">
        <v>46033</v>
      </c>
      <c r="C1525" t="s">
        <v>328</v>
      </c>
      <c r="D1525">
        <v>15</v>
      </c>
      <c r="E1525" t="s">
        <v>323</v>
      </c>
      <c r="F1525" s="21">
        <v>37350</v>
      </c>
      <c r="G1525" s="24" t="s">
        <v>276</v>
      </c>
      <c r="H1525" t="s">
        <v>296</v>
      </c>
      <c r="I1525" t="s">
        <v>329</v>
      </c>
      <c r="J1525" t="s">
        <v>332</v>
      </c>
      <c r="K1525" t="s">
        <v>333</v>
      </c>
    </row>
    <row r="1526" spans="1:11" x14ac:dyDescent="0.2">
      <c r="A1526">
        <v>8</v>
      </c>
      <c r="B1526" s="21">
        <v>46033</v>
      </c>
      <c r="C1526" t="s">
        <v>328</v>
      </c>
      <c r="D1526">
        <v>15</v>
      </c>
      <c r="E1526" t="s">
        <v>323</v>
      </c>
      <c r="F1526" s="21">
        <v>37350</v>
      </c>
      <c r="G1526" s="24" t="s">
        <v>276</v>
      </c>
      <c r="H1526" t="s">
        <v>279</v>
      </c>
      <c r="I1526" t="s">
        <v>337</v>
      </c>
      <c r="J1526" t="s">
        <v>332</v>
      </c>
      <c r="K1526" t="s">
        <v>333</v>
      </c>
    </row>
    <row r="1527" spans="1:11" x14ac:dyDescent="0.2">
      <c r="A1527">
        <v>8</v>
      </c>
      <c r="B1527" s="21">
        <v>46033</v>
      </c>
      <c r="C1527" t="s">
        <v>328</v>
      </c>
      <c r="D1527">
        <v>15</v>
      </c>
      <c r="E1527" t="s">
        <v>323</v>
      </c>
      <c r="F1527" s="21">
        <v>37350</v>
      </c>
      <c r="G1527" s="24" t="s">
        <v>276</v>
      </c>
      <c r="H1527" t="s">
        <v>279</v>
      </c>
      <c r="I1527" t="s">
        <v>348</v>
      </c>
      <c r="J1527" t="s">
        <v>332</v>
      </c>
      <c r="K1527" t="s">
        <v>333</v>
      </c>
    </row>
    <row r="1528" spans="1:11" x14ac:dyDescent="0.2">
      <c r="A1528">
        <v>8</v>
      </c>
      <c r="B1528" s="21">
        <v>46033</v>
      </c>
      <c r="C1528" t="s">
        <v>328</v>
      </c>
      <c r="D1528">
        <v>15</v>
      </c>
      <c r="E1528" t="s">
        <v>323</v>
      </c>
      <c r="F1528" s="21">
        <v>37350</v>
      </c>
      <c r="G1528" s="24" t="s">
        <v>276</v>
      </c>
      <c r="H1528" t="s">
        <v>279</v>
      </c>
      <c r="I1528" t="s">
        <v>337</v>
      </c>
      <c r="J1528" t="s">
        <v>332</v>
      </c>
      <c r="K1528" t="s">
        <v>333</v>
      </c>
    </row>
    <row r="1529" spans="1:11" x14ac:dyDescent="0.2">
      <c r="A1529">
        <v>8</v>
      </c>
      <c r="B1529" s="21">
        <v>46033</v>
      </c>
      <c r="C1529" t="s">
        <v>328</v>
      </c>
      <c r="D1529">
        <v>15</v>
      </c>
      <c r="E1529" t="s">
        <v>323</v>
      </c>
      <c r="F1529" s="21">
        <v>37350</v>
      </c>
      <c r="G1529" s="24" t="s">
        <v>276</v>
      </c>
      <c r="H1529" t="s">
        <v>279</v>
      </c>
      <c r="I1529" t="s">
        <v>329</v>
      </c>
      <c r="J1529" t="s">
        <v>332</v>
      </c>
    </row>
    <row r="1530" spans="1:11" x14ac:dyDescent="0.2">
      <c r="A1530">
        <v>8</v>
      </c>
      <c r="B1530" s="21">
        <v>46033</v>
      </c>
      <c r="C1530" t="s">
        <v>328</v>
      </c>
      <c r="D1530">
        <v>15</v>
      </c>
      <c r="E1530" t="s">
        <v>323</v>
      </c>
      <c r="F1530" s="21">
        <v>37350</v>
      </c>
      <c r="G1530" s="24" t="s">
        <v>276</v>
      </c>
      <c r="H1530" t="s">
        <v>295</v>
      </c>
      <c r="I1530" t="s">
        <v>329</v>
      </c>
      <c r="J1530" t="s">
        <v>330</v>
      </c>
    </row>
    <row r="1531" spans="1:11" x14ac:dyDescent="0.2">
      <c r="A1531">
        <v>8</v>
      </c>
      <c r="B1531" s="21">
        <v>46033</v>
      </c>
      <c r="C1531" t="s">
        <v>328</v>
      </c>
      <c r="D1531">
        <v>15</v>
      </c>
      <c r="E1531" t="s">
        <v>323</v>
      </c>
      <c r="F1531" s="21">
        <v>37350</v>
      </c>
      <c r="G1531" s="24" t="s">
        <v>276</v>
      </c>
      <c r="H1531" t="s">
        <v>293</v>
      </c>
      <c r="I1531" t="s">
        <v>329</v>
      </c>
    </row>
    <row r="1532" spans="1:11" x14ac:dyDescent="0.2">
      <c r="A1532">
        <v>8</v>
      </c>
      <c r="B1532" s="21">
        <v>46033</v>
      </c>
      <c r="C1532" t="s">
        <v>328</v>
      </c>
      <c r="D1532">
        <v>15</v>
      </c>
      <c r="E1532" t="s">
        <v>323</v>
      </c>
      <c r="F1532" s="21">
        <v>37350</v>
      </c>
      <c r="G1532" s="24" t="s">
        <v>276</v>
      </c>
      <c r="H1532" t="s">
        <v>279</v>
      </c>
      <c r="I1532" t="s">
        <v>341</v>
      </c>
      <c r="J1532" t="s">
        <v>330</v>
      </c>
      <c r="K1532" t="s">
        <v>331</v>
      </c>
    </row>
    <row r="1533" spans="1:11" x14ac:dyDescent="0.2">
      <c r="A1533">
        <v>8</v>
      </c>
      <c r="B1533" s="21">
        <v>46033</v>
      </c>
      <c r="C1533" t="s">
        <v>328</v>
      </c>
      <c r="D1533">
        <v>15</v>
      </c>
      <c r="E1533" t="s">
        <v>323</v>
      </c>
      <c r="F1533" s="21">
        <v>37350</v>
      </c>
      <c r="G1533" s="24" t="s">
        <v>276</v>
      </c>
      <c r="H1533" t="s">
        <v>287</v>
      </c>
      <c r="I1533" t="s">
        <v>348</v>
      </c>
      <c r="J1533" t="s">
        <v>80</v>
      </c>
      <c r="K1533" t="s">
        <v>333</v>
      </c>
    </row>
    <row r="1534" spans="1:11" x14ac:dyDescent="0.2">
      <c r="A1534">
        <v>8</v>
      </c>
      <c r="B1534" s="21">
        <v>46033</v>
      </c>
      <c r="C1534" t="s">
        <v>328</v>
      </c>
      <c r="D1534">
        <v>15</v>
      </c>
      <c r="E1534" t="s">
        <v>323</v>
      </c>
      <c r="F1534" s="21">
        <v>37350</v>
      </c>
      <c r="G1534" s="24" t="s">
        <v>276</v>
      </c>
      <c r="H1534" t="s">
        <v>296</v>
      </c>
      <c r="I1534" t="s">
        <v>348</v>
      </c>
      <c r="J1534" t="s">
        <v>80</v>
      </c>
    </row>
    <row r="1535" spans="1:11" x14ac:dyDescent="0.2">
      <c r="A1535">
        <v>8</v>
      </c>
      <c r="B1535" s="21">
        <v>46033</v>
      </c>
      <c r="C1535" t="s">
        <v>328</v>
      </c>
      <c r="D1535">
        <v>15</v>
      </c>
      <c r="E1535" t="s">
        <v>323</v>
      </c>
      <c r="F1535" s="21">
        <v>37350</v>
      </c>
      <c r="G1535" s="24" t="s">
        <v>276</v>
      </c>
      <c r="H1535" t="s">
        <v>293</v>
      </c>
      <c r="I1535" t="s">
        <v>329</v>
      </c>
    </row>
    <row r="1536" spans="1:11" x14ac:dyDescent="0.2">
      <c r="A1536">
        <v>8</v>
      </c>
      <c r="B1536" s="21">
        <v>46033</v>
      </c>
      <c r="C1536" t="s">
        <v>328</v>
      </c>
      <c r="D1536">
        <v>15</v>
      </c>
      <c r="E1536" t="s">
        <v>323</v>
      </c>
      <c r="F1536" s="21">
        <v>37350</v>
      </c>
      <c r="G1536" s="24" t="s">
        <v>276</v>
      </c>
      <c r="H1536" t="s">
        <v>293</v>
      </c>
      <c r="I1536" t="s">
        <v>341</v>
      </c>
      <c r="J1536" t="s">
        <v>330</v>
      </c>
    </row>
    <row r="1537" spans="1:11" x14ac:dyDescent="0.2">
      <c r="A1537">
        <v>8</v>
      </c>
      <c r="B1537" s="21">
        <v>46033</v>
      </c>
      <c r="C1537" t="s">
        <v>328</v>
      </c>
      <c r="D1537">
        <v>15</v>
      </c>
      <c r="E1537" t="s">
        <v>323</v>
      </c>
      <c r="F1537" s="21">
        <v>37350</v>
      </c>
      <c r="G1537" s="24" t="s">
        <v>276</v>
      </c>
      <c r="H1537" t="s">
        <v>294</v>
      </c>
      <c r="I1537" t="s">
        <v>329</v>
      </c>
      <c r="J1537" t="s">
        <v>330</v>
      </c>
      <c r="K1537" t="s">
        <v>342</v>
      </c>
    </row>
    <row r="1538" spans="1:11" x14ac:dyDescent="0.2">
      <c r="A1538">
        <v>8</v>
      </c>
      <c r="B1538" s="21">
        <v>46033</v>
      </c>
      <c r="C1538" t="s">
        <v>328</v>
      </c>
      <c r="D1538">
        <v>15</v>
      </c>
      <c r="E1538" t="s">
        <v>323</v>
      </c>
      <c r="F1538" s="21">
        <v>37350</v>
      </c>
      <c r="G1538" s="24" t="s">
        <v>276</v>
      </c>
      <c r="H1538" t="s">
        <v>294</v>
      </c>
      <c r="I1538" t="s">
        <v>329</v>
      </c>
      <c r="J1538" t="s">
        <v>332</v>
      </c>
      <c r="K1538" t="s">
        <v>342</v>
      </c>
    </row>
    <row r="1539" spans="1:11" x14ac:dyDescent="0.2">
      <c r="A1539">
        <v>8</v>
      </c>
      <c r="B1539" s="21">
        <v>46033</v>
      </c>
      <c r="C1539" t="s">
        <v>328</v>
      </c>
      <c r="D1539">
        <v>15</v>
      </c>
      <c r="E1539" t="s">
        <v>323</v>
      </c>
      <c r="F1539" s="21">
        <v>37350</v>
      </c>
      <c r="G1539" s="24" t="s">
        <v>276</v>
      </c>
      <c r="H1539" t="s">
        <v>296</v>
      </c>
      <c r="I1539" t="s">
        <v>329</v>
      </c>
    </row>
    <row r="1540" spans="1:11" x14ac:dyDescent="0.2">
      <c r="A1540">
        <v>8</v>
      </c>
      <c r="B1540" s="21">
        <v>46033</v>
      </c>
      <c r="C1540" t="s">
        <v>328</v>
      </c>
      <c r="D1540">
        <v>15</v>
      </c>
      <c r="E1540" t="s">
        <v>323</v>
      </c>
      <c r="F1540" s="21">
        <v>37350</v>
      </c>
      <c r="G1540" s="24" t="s">
        <v>276</v>
      </c>
      <c r="H1540" t="s">
        <v>296</v>
      </c>
    </row>
    <row r="1541" spans="1:11" x14ac:dyDescent="0.2">
      <c r="A1541">
        <v>8</v>
      </c>
      <c r="B1541" s="21">
        <v>46033</v>
      </c>
      <c r="C1541" t="s">
        <v>328</v>
      </c>
      <c r="D1541">
        <v>15</v>
      </c>
      <c r="E1541" t="s">
        <v>323</v>
      </c>
      <c r="F1541" s="21">
        <v>37350</v>
      </c>
      <c r="G1541" s="24" t="s">
        <v>276</v>
      </c>
      <c r="H1541" t="s">
        <v>290</v>
      </c>
      <c r="I1541" t="s">
        <v>329</v>
      </c>
      <c r="J1541" t="s">
        <v>330</v>
      </c>
      <c r="K1541" t="s">
        <v>342</v>
      </c>
    </row>
    <row r="1542" spans="1:11" x14ac:dyDescent="0.2">
      <c r="A1542">
        <v>8</v>
      </c>
      <c r="B1542" s="21">
        <v>46033</v>
      </c>
      <c r="C1542" t="s">
        <v>328</v>
      </c>
      <c r="D1542">
        <v>15</v>
      </c>
      <c r="E1542" t="s">
        <v>323</v>
      </c>
      <c r="F1542" s="21">
        <v>37350</v>
      </c>
      <c r="G1542" s="24" t="s">
        <v>276</v>
      </c>
      <c r="H1542" t="s">
        <v>292</v>
      </c>
      <c r="I1542" t="s">
        <v>329</v>
      </c>
      <c r="J1542" t="s">
        <v>330</v>
      </c>
    </row>
    <row r="1543" spans="1:11" x14ac:dyDescent="0.2">
      <c r="A1543">
        <v>8</v>
      </c>
      <c r="B1543" s="21">
        <v>46033</v>
      </c>
      <c r="C1543" t="s">
        <v>328</v>
      </c>
      <c r="D1543">
        <v>15</v>
      </c>
      <c r="E1543" t="s">
        <v>323</v>
      </c>
      <c r="F1543" s="21">
        <v>37350</v>
      </c>
      <c r="G1543" s="24" t="s">
        <v>276</v>
      </c>
      <c r="H1543" t="s">
        <v>292</v>
      </c>
      <c r="I1543" t="s">
        <v>329</v>
      </c>
      <c r="J1543" t="s">
        <v>330</v>
      </c>
    </row>
    <row r="1544" spans="1:11" x14ac:dyDescent="0.2">
      <c r="A1544">
        <v>8</v>
      </c>
      <c r="B1544" s="21">
        <v>46033</v>
      </c>
      <c r="C1544" t="s">
        <v>328</v>
      </c>
      <c r="D1544">
        <v>15</v>
      </c>
      <c r="E1544" t="s">
        <v>323</v>
      </c>
      <c r="F1544" s="21">
        <v>37350</v>
      </c>
      <c r="G1544" s="24" t="s">
        <v>276</v>
      </c>
      <c r="H1544" t="s">
        <v>285</v>
      </c>
      <c r="I1544" t="s">
        <v>329</v>
      </c>
      <c r="K1544" t="s">
        <v>340</v>
      </c>
    </row>
    <row r="1545" spans="1:11" x14ac:dyDescent="0.2">
      <c r="A1545">
        <v>8</v>
      </c>
      <c r="B1545" s="21">
        <v>46033</v>
      </c>
      <c r="C1545" t="s">
        <v>328</v>
      </c>
      <c r="D1545">
        <v>15</v>
      </c>
      <c r="E1545" t="s">
        <v>323</v>
      </c>
      <c r="F1545" s="21">
        <v>37350</v>
      </c>
      <c r="G1545" s="24" t="s">
        <v>276</v>
      </c>
      <c r="H1545" t="s">
        <v>287</v>
      </c>
      <c r="I1545" t="s">
        <v>337</v>
      </c>
      <c r="J1545" t="s">
        <v>330</v>
      </c>
      <c r="K1545" t="s">
        <v>340</v>
      </c>
    </row>
    <row r="1546" spans="1:11" x14ac:dyDescent="0.2">
      <c r="A1546">
        <v>8</v>
      </c>
      <c r="B1546" s="21">
        <v>46033</v>
      </c>
      <c r="C1546" t="s">
        <v>328</v>
      </c>
      <c r="D1546">
        <v>15</v>
      </c>
      <c r="E1546" t="s">
        <v>323</v>
      </c>
      <c r="F1546" s="21">
        <v>37350</v>
      </c>
      <c r="G1546" s="24" t="s">
        <v>276</v>
      </c>
    </row>
    <row r="1547" spans="1:11" x14ac:dyDescent="0.2">
      <c r="A1547">
        <v>8</v>
      </c>
      <c r="B1547" s="21">
        <v>46033</v>
      </c>
      <c r="C1547" t="s">
        <v>328</v>
      </c>
      <c r="D1547">
        <v>15</v>
      </c>
      <c r="E1547" t="s">
        <v>323</v>
      </c>
      <c r="F1547" s="21">
        <v>37350</v>
      </c>
      <c r="G1547" s="24" t="s">
        <v>276</v>
      </c>
    </row>
    <row r="1548" spans="1:11" x14ac:dyDescent="0.2">
      <c r="A1548">
        <v>8</v>
      </c>
      <c r="B1548" s="21">
        <v>46033</v>
      </c>
      <c r="C1548" t="s">
        <v>328</v>
      </c>
      <c r="D1548">
        <v>15</v>
      </c>
      <c r="E1548" t="s">
        <v>323</v>
      </c>
      <c r="F1548" s="21">
        <v>37350</v>
      </c>
      <c r="G1548" s="24" t="s">
        <v>276</v>
      </c>
    </row>
    <row r="1549" spans="1:11" x14ac:dyDescent="0.2">
      <c r="A1549">
        <v>8</v>
      </c>
      <c r="B1549" s="21">
        <v>46033</v>
      </c>
      <c r="C1549" t="s">
        <v>328</v>
      </c>
      <c r="D1549">
        <v>15</v>
      </c>
      <c r="E1549" t="s">
        <v>323</v>
      </c>
      <c r="F1549" s="21">
        <v>37350</v>
      </c>
      <c r="G1549" s="24" t="s">
        <v>276</v>
      </c>
    </row>
    <row r="1550" spans="1:11" x14ac:dyDescent="0.2">
      <c r="A1550">
        <v>8</v>
      </c>
      <c r="B1550" s="21">
        <v>46033</v>
      </c>
      <c r="C1550" t="s">
        <v>328</v>
      </c>
      <c r="D1550">
        <v>15</v>
      </c>
      <c r="E1550" t="s">
        <v>323</v>
      </c>
      <c r="F1550" s="21">
        <v>37350</v>
      </c>
      <c r="G1550" s="24" t="s">
        <v>276</v>
      </c>
    </row>
    <row r="1551" spans="1:11" x14ac:dyDescent="0.2">
      <c r="A1551">
        <v>8</v>
      </c>
      <c r="B1551" s="21">
        <v>46033</v>
      </c>
      <c r="C1551" t="s">
        <v>328</v>
      </c>
      <c r="D1551">
        <v>15</v>
      </c>
      <c r="E1551" t="s">
        <v>323</v>
      </c>
      <c r="F1551" s="21">
        <v>37350</v>
      </c>
      <c r="G1551" s="24" t="s">
        <v>276</v>
      </c>
    </row>
    <row r="1552" spans="1:11" x14ac:dyDescent="0.2">
      <c r="A1552">
        <v>8</v>
      </c>
      <c r="B1552" s="21">
        <v>46033</v>
      </c>
      <c r="C1552" t="s">
        <v>328</v>
      </c>
      <c r="D1552">
        <v>15</v>
      </c>
      <c r="E1552" t="s">
        <v>323</v>
      </c>
      <c r="F1552" s="21">
        <v>37350</v>
      </c>
      <c r="G1552" s="24" t="s">
        <v>276</v>
      </c>
    </row>
    <row r="1553" spans="1:11" x14ac:dyDescent="0.2">
      <c r="A1553">
        <v>8</v>
      </c>
      <c r="B1553" s="21">
        <v>46033</v>
      </c>
      <c r="C1553" t="s">
        <v>328</v>
      </c>
      <c r="D1553">
        <v>15</v>
      </c>
      <c r="E1553" t="s">
        <v>323</v>
      </c>
      <c r="F1553" s="21">
        <v>37350</v>
      </c>
      <c r="G1553" s="24" t="s">
        <v>276</v>
      </c>
    </row>
    <row r="1554" spans="1:11" x14ac:dyDescent="0.2">
      <c r="A1554">
        <v>8</v>
      </c>
      <c r="B1554" s="21">
        <v>46033</v>
      </c>
      <c r="C1554" t="s">
        <v>328</v>
      </c>
      <c r="D1554">
        <v>15</v>
      </c>
      <c r="E1554" t="s">
        <v>323</v>
      </c>
      <c r="F1554" s="21">
        <v>37350</v>
      </c>
      <c r="G1554" s="24" t="s">
        <v>276</v>
      </c>
    </row>
    <row r="1555" spans="1:11" x14ac:dyDescent="0.2">
      <c r="A1555">
        <v>8</v>
      </c>
      <c r="B1555" s="21">
        <v>46033</v>
      </c>
      <c r="C1555" t="s">
        <v>328</v>
      </c>
      <c r="D1555">
        <v>15</v>
      </c>
      <c r="E1555" t="s">
        <v>323</v>
      </c>
      <c r="F1555" s="21">
        <v>37350</v>
      </c>
      <c r="G1555" s="24" t="s">
        <v>276</v>
      </c>
    </row>
    <row r="1556" spans="1:11" x14ac:dyDescent="0.2">
      <c r="A1556">
        <v>8</v>
      </c>
      <c r="B1556" s="21">
        <v>46033</v>
      </c>
      <c r="C1556" t="s">
        <v>328</v>
      </c>
      <c r="D1556">
        <v>15</v>
      </c>
      <c r="E1556" t="s">
        <v>323</v>
      </c>
      <c r="F1556" s="21">
        <v>37350</v>
      </c>
      <c r="G1556" s="24" t="s">
        <v>276</v>
      </c>
    </row>
    <row r="1557" spans="1:11" x14ac:dyDescent="0.2">
      <c r="A1557">
        <v>8</v>
      </c>
      <c r="B1557" s="21">
        <v>46033</v>
      </c>
      <c r="C1557" t="s">
        <v>328</v>
      </c>
      <c r="D1557">
        <v>15</v>
      </c>
      <c r="E1557" t="s">
        <v>323</v>
      </c>
      <c r="F1557" s="21">
        <v>37350</v>
      </c>
      <c r="G1557" s="24" t="s">
        <v>276</v>
      </c>
    </row>
    <row r="1558" spans="1:11" x14ac:dyDescent="0.2">
      <c r="A1558">
        <v>8</v>
      </c>
      <c r="B1558" s="21">
        <v>46033</v>
      </c>
      <c r="C1558" t="s">
        <v>328</v>
      </c>
      <c r="D1558">
        <v>15</v>
      </c>
      <c r="E1558" t="s">
        <v>323</v>
      </c>
      <c r="F1558" s="21">
        <v>37350</v>
      </c>
      <c r="G1558" s="24" t="s">
        <v>276</v>
      </c>
    </row>
    <row r="1559" spans="1:11" x14ac:dyDescent="0.2">
      <c r="A1559">
        <v>8</v>
      </c>
      <c r="B1559" s="21">
        <v>46033</v>
      </c>
      <c r="C1559" t="s">
        <v>328</v>
      </c>
      <c r="D1559">
        <v>15</v>
      </c>
      <c r="E1559" t="s">
        <v>323</v>
      </c>
      <c r="F1559" s="21">
        <v>37350</v>
      </c>
      <c r="G1559" s="24" t="s">
        <v>276</v>
      </c>
    </row>
    <row r="1560" spans="1:11" x14ac:dyDescent="0.2">
      <c r="A1560">
        <v>8</v>
      </c>
      <c r="B1560" s="21">
        <v>46033</v>
      </c>
      <c r="C1560" t="s">
        <v>328</v>
      </c>
      <c r="D1560">
        <v>15</v>
      </c>
      <c r="E1560" t="s">
        <v>323</v>
      </c>
      <c r="F1560" s="21">
        <v>37350</v>
      </c>
      <c r="G1560" s="24" t="s">
        <v>276</v>
      </c>
    </row>
    <row r="1561" spans="1:11" x14ac:dyDescent="0.2">
      <c r="A1561">
        <v>8</v>
      </c>
      <c r="B1561" s="21">
        <v>46033</v>
      </c>
      <c r="C1561" t="s">
        <v>328</v>
      </c>
      <c r="D1561">
        <v>15</v>
      </c>
      <c r="E1561" t="s">
        <v>323</v>
      </c>
      <c r="F1561" s="21">
        <v>37350</v>
      </c>
      <c r="G1561" s="24" t="s">
        <v>276</v>
      </c>
    </row>
    <row r="1562" spans="1:11" x14ac:dyDescent="0.2">
      <c r="A1562">
        <v>8</v>
      </c>
      <c r="B1562" s="21">
        <v>46033</v>
      </c>
      <c r="C1562" t="s">
        <v>328</v>
      </c>
      <c r="D1562">
        <v>15</v>
      </c>
      <c r="E1562" t="s">
        <v>323</v>
      </c>
      <c r="F1562" s="21">
        <v>37350</v>
      </c>
      <c r="G1562" s="24" t="s">
        <v>276</v>
      </c>
    </row>
    <row r="1563" spans="1:11" x14ac:dyDescent="0.2">
      <c r="A1563">
        <v>8</v>
      </c>
      <c r="B1563" s="21">
        <v>46033</v>
      </c>
      <c r="C1563" t="s">
        <v>328</v>
      </c>
      <c r="D1563">
        <v>15</v>
      </c>
      <c r="E1563" t="s">
        <v>323</v>
      </c>
      <c r="F1563" s="21">
        <v>37350</v>
      </c>
      <c r="G1563" s="24" t="s">
        <v>276</v>
      </c>
    </row>
    <row r="1564" spans="1:11" x14ac:dyDescent="0.2">
      <c r="A1564">
        <v>8</v>
      </c>
      <c r="B1564" s="21">
        <v>46033</v>
      </c>
      <c r="C1564" t="s">
        <v>328</v>
      </c>
      <c r="D1564">
        <v>15</v>
      </c>
      <c r="E1564" t="s">
        <v>323</v>
      </c>
      <c r="F1564" s="21">
        <v>37350</v>
      </c>
      <c r="G1564" s="24" t="s">
        <v>276</v>
      </c>
    </row>
    <row r="1565" spans="1:11" x14ac:dyDescent="0.2">
      <c r="A1565">
        <v>8</v>
      </c>
      <c r="B1565" s="21">
        <v>46033</v>
      </c>
      <c r="C1565" t="s">
        <v>328</v>
      </c>
      <c r="D1565">
        <v>15</v>
      </c>
      <c r="E1565" t="s">
        <v>323</v>
      </c>
      <c r="F1565" s="21">
        <v>37350</v>
      </c>
      <c r="G1565" s="24" t="s">
        <v>276</v>
      </c>
    </row>
    <row r="1566" spans="1:11" x14ac:dyDescent="0.2">
      <c r="A1566">
        <v>8</v>
      </c>
      <c r="B1566" s="21">
        <v>46033</v>
      </c>
      <c r="C1566" t="s">
        <v>328</v>
      </c>
      <c r="D1566">
        <v>15</v>
      </c>
      <c r="E1566" t="s">
        <v>323</v>
      </c>
      <c r="F1566" s="21">
        <v>37350</v>
      </c>
      <c r="G1566" s="24" t="s">
        <v>276</v>
      </c>
    </row>
    <row r="1567" spans="1:11" x14ac:dyDescent="0.2">
      <c r="A1567">
        <v>8</v>
      </c>
      <c r="B1567" s="21">
        <v>46033</v>
      </c>
      <c r="C1567" t="s">
        <v>328</v>
      </c>
      <c r="D1567">
        <v>15</v>
      </c>
      <c r="E1567" t="s">
        <v>323</v>
      </c>
      <c r="F1567" s="21">
        <v>37350</v>
      </c>
      <c r="G1567" s="24" t="s">
        <v>276</v>
      </c>
    </row>
    <row r="1568" spans="1:11" x14ac:dyDescent="0.2">
      <c r="A1568">
        <v>9</v>
      </c>
      <c r="B1568" s="21">
        <v>46041</v>
      </c>
      <c r="C1568" t="s">
        <v>352</v>
      </c>
      <c r="D1568">
        <v>16</v>
      </c>
      <c r="E1568" t="s">
        <v>353</v>
      </c>
      <c r="F1568" s="21">
        <v>37350</v>
      </c>
      <c r="G1568" s="24" t="s">
        <v>307</v>
      </c>
      <c r="H1568" t="s">
        <v>287</v>
      </c>
      <c r="I1568" t="s">
        <v>334</v>
      </c>
      <c r="J1568" t="s">
        <v>330</v>
      </c>
      <c r="K1568" t="s">
        <v>331</v>
      </c>
    </row>
    <row r="1569" spans="1:13" x14ac:dyDescent="0.2">
      <c r="A1569">
        <v>9</v>
      </c>
      <c r="B1569" s="21">
        <v>46041</v>
      </c>
      <c r="C1569" t="s">
        <v>352</v>
      </c>
      <c r="D1569">
        <v>16</v>
      </c>
      <c r="E1569" t="s">
        <v>353</v>
      </c>
      <c r="F1569" s="21">
        <v>37350</v>
      </c>
      <c r="G1569" s="24" t="s">
        <v>307</v>
      </c>
      <c r="H1569" t="s">
        <v>290</v>
      </c>
      <c r="I1569" t="s">
        <v>334</v>
      </c>
      <c r="J1569" t="s">
        <v>330</v>
      </c>
      <c r="K1569" t="s">
        <v>342</v>
      </c>
    </row>
    <row r="1570" spans="1:13" x14ac:dyDescent="0.2">
      <c r="A1570">
        <v>9</v>
      </c>
      <c r="B1570" s="21">
        <v>46041</v>
      </c>
      <c r="C1570" t="s">
        <v>352</v>
      </c>
      <c r="D1570">
        <v>16</v>
      </c>
      <c r="E1570" t="s">
        <v>353</v>
      </c>
      <c r="F1570" s="21">
        <v>37350</v>
      </c>
      <c r="G1570" s="24" t="s">
        <v>307</v>
      </c>
      <c r="H1570" t="s">
        <v>278</v>
      </c>
      <c r="I1570" t="s">
        <v>334</v>
      </c>
      <c r="J1570" t="s">
        <v>330</v>
      </c>
      <c r="K1570" t="s">
        <v>342</v>
      </c>
    </row>
    <row r="1571" spans="1:13" x14ac:dyDescent="0.2">
      <c r="A1571">
        <v>9</v>
      </c>
      <c r="B1571" s="21">
        <v>46041</v>
      </c>
      <c r="C1571" t="s">
        <v>352</v>
      </c>
      <c r="D1571">
        <v>16</v>
      </c>
      <c r="E1571" t="s">
        <v>353</v>
      </c>
      <c r="F1571" s="21">
        <v>37350</v>
      </c>
      <c r="G1571" s="24" t="s">
        <v>307</v>
      </c>
      <c r="H1571" t="s">
        <v>285</v>
      </c>
      <c r="I1571" t="s">
        <v>344</v>
      </c>
      <c r="J1571" t="s">
        <v>330</v>
      </c>
      <c r="K1571" t="s">
        <v>346</v>
      </c>
    </row>
    <row r="1572" spans="1:13" x14ac:dyDescent="0.2">
      <c r="A1572">
        <v>9</v>
      </c>
      <c r="B1572" s="21">
        <v>46041</v>
      </c>
      <c r="C1572" t="s">
        <v>352</v>
      </c>
      <c r="D1572">
        <v>16</v>
      </c>
      <c r="E1572" t="s">
        <v>353</v>
      </c>
      <c r="F1572" s="21">
        <v>37350</v>
      </c>
      <c r="G1572" s="24" t="s">
        <v>307</v>
      </c>
      <c r="H1572" t="s">
        <v>290</v>
      </c>
      <c r="I1572" t="s">
        <v>355</v>
      </c>
      <c r="J1572" t="s">
        <v>330</v>
      </c>
      <c r="K1572" t="s">
        <v>342</v>
      </c>
    </row>
    <row r="1573" spans="1:13" x14ac:dyDescent="0.2">
      <c r="A1573">
        <v>9</v>
      </c>
      <c r="B1573" s="21">
        <v>46041</v>
      </c>
      <c r="C1573" t="s">
        <v>352</v>
      </c>
      <c r="D1573">
        <v>16</v>
      </c>
      <c r="E1573" t="s">
        <v>353</v>
      </c>
      <c r="F1573" s="21">
        <v>37350</v>
      </c>
      <c r="G1573" s="24" t="s">
        <v>307</v>
      </c>
      <c r="H1573" t="s">
        <v>292</v>
      </c>
      <c r="I1573" t="s">
        <v>329</v>
      </c>
      <c r="J1573" t="s">
        <v>330</v>
      </c>
      <c r="K1573" t="s">
        <v>331</v>
      </c>
    </row>
    <row r="1574" spans="1:13" x14ac:dyDescent="0.2">
      <c r="A1574">
        <v>9</v>
      </c>
      <c r="B1574" s="21">
        <v>46041</v>
      </c>
      <c r="C1574" t="s">
        <v>352</v>
      </c>
      <c r="D1574">
        <v>16</v>
      </c>
      <c r="E1574" t="s">
        <v>353</v>
      </c>
      <c r="F1574" s="21">
        <v>37350</v>
      </c>
      <c r="G1574" s="24" t="s">
        <v>307</v>
      </c>
      <c r="H1574" t="s">
        <v>292</v>
      </c>
      <c r="I1574" t="s">
        <v>337</v>
      </c>
      <c r="J1574" t="s">
        <v>330</v>
      </c>
      <c r="K1574" t="s">
        <v>331</v>
      </c>
    </row>
    <row r="1575" spans="1:13" x14ac:dyDescent="0.2">
      <c r="A1575">
        <v>9</v>
      </c>
      <c r="B1575" s="21">
        <v>46041</v>
      </c>
      <c r="C1575" t="s">
        <v>352</v>
      </c>
      <c r="D1575">
        <v>16</v>
      </c>
      <c r="E1575" t="s">
        <v>353</v>
      </c>
      <c r="F1575" s="21">
        <v>37350</v>
      </c>
      <c r="G1575" s="24" t="s">
        <v>307</v>
      </c>
      <c r="H1575" t="s">
        <v>283</v>
      </c>
      <c r="I1575" t="s">
        <v>355</v>
      </c>
      <c r="J1575" t="s">
        <v>330</v>
      </c>
      <c r="K1575" t="s">
        <v>335</v>
      </c>
    </row>
    <row r="1576" spans="1:13" x14ac:dyDescent="0.2">
      <c r="A1576">
        <v>9</v>
      </c>
      <c r="B1576" s="21">
        <v>46041</v>
      </c>
      <c r="C1576" t="s">
        <v>352</v>
      </c>
      <c r="D1576">
        <v>16</v>
      </c>
      <c r="E1576" t="s">
        <v>353</v>
      </c>
      <c r="F1576" s="21">
        <v>37350</v>
      </c>
      <c r="G1576" s="24" t="s">
        <v>307</v>
      </c>
      <c r="H1576" t="s">
        <v>283</v>
      </c>
      <c r="I1576" t="s">
        <v>355</v>
      </c>
      <c r="J1576" t="s">
        <v>330</v>
      </c>
      <c r="K1576" t="s">
        <v>340</v>
      </c>
    </row>
    <row r="1577" spans="1:13" x14ac:dyDescent="0.2">
      <c r="A1577">
        <v>9</v>
      </c>
      <c r="B1577" s="21">
        <v>46041</v>
      </c>
      <c r="C1577" t="s">
        <v>352</v>
      </c>
      <c r="D1577">
        <v>16</v>
      </c>
      <c r="E1577" t="s">
        <v>353</v>
      </c>
      <c r="F1577" s="21">
        <v>37350</v>
      </c>
      <c r="G1577" s="24" t="s">
        <v>307</v>
      </c>
      <c r="H1577" t="s">
        <v>296</v>
      </c>
      <c r="I1577" t="s">
        <v>334</v>
      </c>
      <c r="J1577" t="s">
        <v>330</v>
      </c>
      <c r="K1577" t="s">
        <v>340</v>
      </c>
    </row>
    <row r="1578" spans="1:13" x14ac:dyDescent="0.2">
      <c r="A1578">
        <v>9</v>
      </c>
      <c r="B1578" s="21">
        <v>46041</v>
      </c>
      <c r="C1578" t="s">
        <v>352</v>
      </c>
      <c r="D1578">
        <v>16</v>
      </c>
      <c r="E1578" t="s">
        <v>353</v>
      </c>
      <c r="F1578" s="21">
        <v>37350</v>
      </c>
      <c r="G1578" s="24" t="s">
        <v>307</v>
      </c>
      <c r="H1578" t="s">
        <v>296</v>
      </c>
      <c r="I1578" t="s">
        <v>329</v>
      </c>
      <c r="J1578" t="s">
        <v>330</v>
      </c>
      <c r="K1578" t="s">
        <v>340</v>
      </c>
    </row>
    <row r="1579" spans="1:13" x14ac:dyDescent="0.2">
      <c r="A1579">
        <v>9</v>
      </c>
      <c r="B1579" s="21">
        <v>46041</v>
      </c>
      <c r="C1579" t="s">
        <v>352</v>
      </c>
      <c r="D1579">
        <v>16</v>
      </c>
      <c r="E1579" t="s">
        <v>353</v>
      </c>
      <c r="F1579" s="21">
        <v>37350</v>
      </c>
      <c r="G1579" s="24" t="s">
        <v>307</v>
      </c>
      <c r="H1579" t="s">
        <v>295</v>
      </c>
      <c r="I1579" t="s">
        <v>339</v>
      </c>
      <c r="J1579" t="s">
        <v>330</v>
      </c>
      <c r="K1579" t="s">
        <v>333</v>
      </c>
      <c r="M1579" t="s">
        <v>356</v>
      </c>
    </row>
    <row r="1580" spans="1:13" x14ac:dyDescent="0.2">
      <c r="A1580">
        <v>9</v>
      </c>
      <c r="B1580" s="21">
        <v>46041</v>
      </c>
      <c r="C1580" t="s">
        <v>352</v>
      </c>
      <c r="D1580">
        <v>16</v>
      </c>
      <c r="E1580" t="s">
        <v>353</v>
      </c>
      <c r="F1580" s="21">
        <v>37350</v>
      </c>
      <c r="G1580" s="24" t="s">
        <v>307</v>
      </c>
      <c r="H1580" t="s">
        <v>278</v>
      </c>
      <c r="I1580" t="s">
        <v>329</v>
      </c>
      <c r="J1580" t="s">
        <v>330</v>
      </c>
      <c r="K1580" t="s">
        <v>342</v>
      </c>
    </row>
    <row r="1581" spans="1:13" x14ac:dyDescent="0.2">
      <c r="A1581">
        <v>9</v>
      </c>
      <c r="B1581" s="21">
        <v>46041</v>
      </c>
      <c r="C1581" t="s">
        <v>352</v>
      </c>
      <c r="D1581">
        <v>16</v>
      </c>
      <c r="E1581" t="s">
        <v>353</v>
      </c>
      <c r="F1581" s="21">
        <v>37350</v>
      </c>
      <c r="G1581" s="24" t="s">
        <v>307</v>
      </c>
      <c r="H1581" t="s">
        <v>293</v>
      </c>
      <c r="I1581" t="s">
        <v>337</v>
      </c>
      <c r="J1581" t="s">
        <v>332</v>
      </c>
      <c r="K1581" t="s">
        <v>331</v>
      </c>
    </row>
    <row r="1582" spans="1:13" x14ac:dyDescent="0.2">
      <c r="A1582">
        <v>9</v>
      </c>
      <c r="B1582" s="21">
        <v>46041</v>
      </c>
      <c r="C1582" t="s">
        <v>352</v>
      </c>
      <c r="D1582">
        <v>16</v>
      </c>
      <c r="E1582" t="s">
        <v>353</v>
      </c>
      <c r="F1582" s="21">
        <v>37350</v>
      </c>
      <c r="G1582" s="24" t="s">
        <v>307</v>
      </c>
      <c r="H1582" t="s">
        <v>295</v>
      </c>
      <c r="I1582" t="s">
        <v>355</v>
      </c>
      <c r="J1582" t="s">
        <v>330</v>
      </c>
      <c r="K1582" t="s">
        <v>338</v>
      </c>
    </row>
    <row r="1583" spans="1:13" x14ac:dyDescent="0.2">
      <c r="A1583">
        <v>9</v>
      </c>
      <c r="B1583" s="21">
        <v>46041</v>
      </c>
      <c r="C1583" t="s">
        <v>352</v>
      </c>
      <c r="D1583">
        <v>16</v>
      </c>
      <c r="E1583" t="s">
        <v>353</v>
      </c>
      <c r="F1583" s="21">
        <v>37350</v>
      </c>
      <c r="G1583" s="24" t="s">
        <v>307</v>
      </c>
      <c r="H1583" t="s">
        <v>282</v>
      </c>
      <c r="I1583" t="s">
        <v>345</v>
      </c>
      <c r="K1583" t="s">
        <v>331</v>
      </c>
    </row>
    <row r="1584" spans="1:13" x14ac:dyDescent="0.2">
      <c r="A1584">
        <v>9</v>
      </c>
      <c r="B1584" s="21">
        <v>46041</v>
      </c>
      <c r="C1584" t="s">
        <v>352</v>
      </c>
      <c r="D1584">
        <v>16</v>
      </c>
      <c r="E1584" t="s">
        <v>353</v>
      </c>
      <c r="F1584" s="21">
        <v>37350</v>
      </c>
      <c r="G1584" s="24" t="s">
        <v>307</v>
      </c>
      <c r="H1584" t="s">
        <v>282</v>
      </c>
      <c r="I1584" t="s">
        <v>334</v>
      </c>
      <c r="J1584" t="s">
        <v>330</v>
      </c>
      <c r="K1584" t="s">
        <v>342</v>
      </c>
    </row>
    <row r="1585" spans="1:13" x14ac:dyDescent="0.2">
      <c r="A1585">
        <v>9</v>
      </c>
      <c r="B1585" s="21">
        <v>46041</v>
      </c>
      <c r="C1585" t="s">
        <v>352</v>
      </c>
      <c r="D1585">
        <v>16</v>
      </c>
      <c r="E1585" t="s">
        <v>353</v>
      </c>
      <c r="F1585" s="21">
        <v>37350</v>
      </c>
      <c r="G1585" s="24" t="s">
        <v>307</v>
      </c>
      <c r="H1585" t="s">
        <v>285</v>
      </c>
      <c r="I1585" t="s">
        <v>329</v>
      </c>
      <c r="J1585" t="s">
        <v>332</v>
      </c>
      <c r="K1585" t="s">
        <v>340</v>
      </c>
      <c r="M1585" t="s">
        <v>357</v>
      </c>
    </row>
    <row r="1586" spans="1:13" x14ac:dyDescent="0.2">
      <c r="A1586">
        <v>9</v>
      </c>
      <c r="B1586" s="21">
        <v>46041</v>
      </c>
      <c r="C1586" t="s">
        <v>352</v>
      </c>
      <c r="D1586">
        <v>16</v>
      </c>
      <c r="E1586" t="s">
        <v>353</v>
      </c>
      <c r="F1586" s="21">
        <v>37350</v>
      </c>
      <c r="G1586" s="24" t="s">
        <v>307</v>
      </c>
      <c r="H1586" t="s">
        <v>293</v>
      </c>
      <c r="I1586" t="s">
        <v>339</v>
      </c>
      <c r="J1586" t="s">
        <v>332</v>
      </c>
      <c r="K1586" t="s">
        <v>336</v>
      </c>
    </row>
    <row r="1587" spans="1:13" x14ac:dyDescent="0.2">
      <c r="A1587">
        <v>9</v>
      </c>
      <c r="B1587" s="21">
        <v>46041</v>
      </c>
      <c r="C1587" t="s">
        <v>352</v>
      </c>
      <c r="D1587">
        <v>16</v>
      </c>
      <c r="E1587" t="s">
        <v>353</v>
      </c>
      <c r="F1587" s="21">
        <v>37350</v>
      </c>
      <c r="G1587" s="24" t="s">
        <v>307</v>
      </c>
      <c r="H1587" t="s">
        <v>292</v>
      </c>
      <c r="I1587" t="s">
        <v>329</v>
      </c>
      <c r="J1587" t="s">
        <v>330</v>
      </c>
      <c r="K1587" t="s">
        <v>331</v>
      </c>
    </row>
    <row r="1588" spans="1:13" x14ac:dyDescent="0.2">
      <c r="A1588">
        <v>9</v>
      </c>
      <c r="B1588" s="21">
        <v>46041</v>
      </c>
      <c r="C1588" t="s">
        <v>352</v>
      </c>
      <c r="D1588">
        <v>16</v>
      </c>
      <c r="E1588" t="s">
        <v>353</v>
      </c>
      <c r="F1588" s="21">
        <v>37350</v>
      </c>
      <c r="G1588" s="24" t="s">
        <v>307</v>
      </c>
      <c r="H1588" t="s">
        <v>293</v>
      </c>
      <c r="I1588" t="s">
        <v>337</v>
      </c>
      <c r="J1588" t="s">
        <v>332</v>
      </c>
      <c r="K1588" t="s">
        <v>331</v>
      </c>
    </row>
    <row r="1589" spans="1:13" x14ac:dyDescent="0.2">
      <c r="A1589">
        <v>9</v>
      </c>
      <c r="B1589" s="21">
        <v>46041</v>
      </c>
      <c r="C1589" t="s">
        <v>352</v>
      </c>
      <c r="D1589">
        <v>16</v>
      </c>
      <c r="E1589" t="s">
        <v>353</v>
      </c>
      <c r="F1589" s="21">
        <v>37350</v>
      </c>
      <c r="G1589" s="24" t="s">
        <v>307</v>
      </c>
      <c r="H1589" t="s">
        <v>293</v>
      </c>
      <c r="I1589" t="s">
        <v>355</v>
      </c>
      <c r="J1589" t="s">
        <v>330</v>
      </c>
      <c r="K1589" t="s">
        <v>331</v>
      </c>
    </row>
    <row r="1590" spans="1:13" x14ac:dyDescent="0.2">
      <c r="A1590">
        <v>9</v>
      </c>
      <c r="B1590" s="21">
        <v>46041</v>
      </c>
      <c r="C1590" t="s">
        <v>352</v>
      </c>
      <c r="D1590">
        <v>16</v>
      </c>
      <c r="E1590" t="s">
        <v>353</v>
      </c>
      <c r="F1590" s="21">
        <v>37350</v>
      </c>
      <c r="G1590" s="24" t="s">
        <v>307</v>
      </c>
      <c r="H1590" t="s">
        <v>283</v>
      </c>
      <c r="I1590" t="s">
        <v>355</v>
      </c>
      <c r="J1590" t="s">
        <v>330</v>
      </c>
      <c r="K1590" t="s">
        <v>335</v>
      </c>
    </row>
    <row r="1591" spans="1:13" x14ac:dyDescent="0.2">
      <c r="A1591">
        <v>9</v>
      </c>
      <c r="B1591" s="21">
        <v>46041</v>
      </c>
      <c r="C1591" t="s">
        <v>352</v>
      </c>
      <c r="D1591">
        <v>16</v>
      </c>
      <c r="E1591" t="s">
        <v>353</v>
      </c>
      <c r="F1591" s="21">
        <v>37350</v>
      </c>
      <c r="G1591" s="24" t="s">
        <v>307</v>
      </c>
      <c r="H1591" t="s">
        <v>295</v>
      </c>
      <c r="I1591" t="s">
        <v>355</v>
      </c>
      <c r="J1591" t="s">
        <v>332</v>
      </c>
      <c r="K1591" t="s">
        <v>335</v>
      </c>
    </row>
    <row r="1592" spans="1:13" x14ac:dyDescent="0.2">
      <c r="A1592">
        <v>9</v>
      </c>
      <c r="B1592" s="21">
        <v>46041</v>
      </c>
      <c r="C1592" t="s">
        <v>352</v>
      </c>
      <c r="D1592">
        <v>16</v>
      </c>
      <c r="E1592" t="s">
        <v>353</v>
      </c>
      <c r="F1592" s="21">
        <v>37350</v>
      </c>
      <c r="G1592" s="24" t="s">
        <v>307</v>
      </c>
      <c r="H1592" t="s">
        <v>283</v>
      </c>
      <c r="I1592" t="s">
        <v>329</v>
      </c>
      <c r="J1592" t="s">
        <v>332</v>
      </c>
      <c r="K1592" t="s">
        <v>335</v>
      </c>
      <c r="M1592" t="s">
        <v>357</v>
      </c>
    </row>
    <row r="1593" spans="1:13" x14ac:dyDescent="0.2">
      <c r="A1593">
        <v>9</v>
      </c>
      <c r="B1593" s="21">
        <v>46041</v>
      </c>
      <c r="C1593" t="s">
        <v>352</v>
      </c>
      <c r="D1593">
        <v>16</v>
      </c>
      <c r="E1593" t="s">
        <v>353</v>
      </c>
      <c r="F1593" s="21">
        <v>37350</v>
      </c>
      <c r="G1593" s="24" t="s">
        <v>307</v>
      </c>
      <c r="H1593" t="s">
        <v>296</v>
      </c>
      <c r="I1593" t="s">
        <v>334</v>
      </c>
      <c r="J1593" t="s">
        <v>330</v>
      </c>
      <c r="K1593" t="s">
        <v>342</v>
      </c>
    </row>
    <row r="1594" spans="1:13" x14ac:dyDescent="0.2">
      <c r="A1594">
        <v>9</v>
      </c>
      <c r="B1594" s="21">
        <v>46041</v>
      </c>
      <c r="C1594" t="s">
        <v>352</v>
      </c>
      <c r="D1594">
        <v>16</v>
      </c>
      <c r="E1594" t="s">
        <v>353</v>
      </c>
      <c r="F1594" s="21">
        <v>37350</v>
      </c>
      <c r="G1594" s="24" t="s">
        <v>307</v>
      </c>
      <c r="H1594" t="s">
        <v>278</v>
      </c>
      <c r="I1594" t="s">
        <v>334</v>
      </c>
      <c r="J1594" t="s">
        <v>330</v>
      </c>
      <c r="K1594" t="s">
        <v>342</v>
      </c>
    </row>
    <row r="1595" spans="1:13" x14ac:dyDescent="0.2">
      <c r="A1595">
        <v>9</v>
      </c>
      <c r="B1595" s="21">
        <v>46041</v>
      </c>
      <c r="C1595" t="s">
        <v>352</v>
      </c>
      <c r="D1595">
        <v>16</v>
      </c>
      <c r="E1595" t="s">
        <v>353</v>
      </c>
      <c r="F1595" s="21">
        <v>37350</v>
      </c>
      <c r="G1595" s="24" t="s">
        <v>307</v>
      </c>
      <c r="H1595" t="s">
        <v>290</v>
      </c>
      <c r="I1595" t="s">
        <v>334</v>
      </c>
      <c r="J1595" t="s">
        <v>330</v>
      </c>
      <c r="K1595" t="s">
        <v>342</v>
      </c>
    </row>
    <row r="1596" spans="1:13" x14ac:dyDescent="0.2">
      <c r="A1596">
        <v>9</v>
      </c>
      <c r="B1596" s="21">
        <v>46041</v>
      </c>
      <c r="C1596" t="s">
        <v>352</v>
      </c>
      <c r="D1596">
        <v>16</v>
      </c>
      <c r="E1596" t="s">
        <v>353</v>
      </c>
      <c r="F1596" s="21">
        <v>37350</v>
      </c>
      <c r="G1596" s="24" t="s">
        <v>307</v>
      </c>
      <c r="H1596" t="s">
        <v>292</v>
      </c>
      <c r="I1596" t="s">
        <v>341</v>
      </c>
      <c r="J1596" t="s">
        <v>332</v>
      </c>
      <c r="K1596" t="s">
        <v>331</v>
      </c>
    </row>
    <row r="1597" spans="1:13" x14ac:dyDescent="0.2">
      <c r="A1597">
        <v>9</v>
      </c>
      <c r="B1597" s="21">
        <v>46041</v>
      </c>
      <c r="C1597" t="s">
        <v>352</v>
      </c>
      <c r="D1597">
        <v>16</v>
      </c>
      <c r="E1597" t="s">
        <v>353</v>
      </c>
      <c r="F1597" s="21">
        <v>37350</v>
      </c>
      <c r="G1597" s="24" t="s">
        <v>307</v>
      </c>
      <c r="H1597" t="s">
        <v>283</v>
      </c>
      <c r="I1597" t="s">
        <v>341</v>
      </c>
      <c r="J1597" t="s">
        <v>330</v>
      </c>
      <c r="K1597" t="s">
        <v>335</v>
      </c>
    </row>
    <row r="1598" spans="1:13" x14ac:dyDescent="0.2">
      <c r="A1598">
        <v>9</v>
      </c>
      <c r="B1598" s="21">
        <v>46041</v>
      </c>
      <c r="C1598" t="s">
        <v>352</v>
      </c>
      <c r="D1598">
        <v>16</v>
      </c>
      <c r="E1598" t="s">
        <v>353</v>
      </c>
      <c r="F1598" s="21">
        <v>37350</v>
      </c>
      <c r="G1598" s="24" t="s">
        <v>307</v>
      </c>
      <c r="H1598" t="s">
        <v>285</v>
      </c>
      <c r="I1598" t="s">
        <v>329</v>
      </c>
      <c r="J1598" t="s">
        <v>332</v>
      </c>
      <c r="K1598" t="s">
        <v>340</v>
      </c>
    </row>
    <row r="1599" spans="1:13" x14ac:dyDescent="0.2">
      <c r="A1599">
        <v>9</v>
      </c>
      <c r="B1599" s="21">
        <v>46041</v>
      </c>
      <c r="C1599" t="s">
        <v>352</v>
      </c>
      <c r="D1599">
        <v>16</v>
      </c>
      <c r="E1599" t="s">
        <v>353</v>
      </c>
      <c r="F1599" s="21">
        <v>37350</v>
      </c>
      <c r="G1599" s="24" t="s">
        <v>307</v>
      </c>
      <c r="H1599" t="s">
        <v>292</v>
      </c>
      <c r="I1599" t="s">
        <v>337</v>
      </c>
      <c r="J1599" t="s">
        <v>332</v>
      </c>
      <c r="K1599" t="s">
        <v>336</v>
      </c>
    </row>
    <row r="1600" spans="1:13" x14ac:dyDescent="0.2">
      <c r="A1600">
        <v>9</v>
      </c>
      <c r="B1600" s="21">
        <v>46041</v>
      </c>
      <c r="C1600" t="s">
        <v>352</v>
      </c>
      <c r="D1600">
        <v>16</v>
      </c>
      <c r="E1600" t="s">
        <v>353</v>
      </c>
      <c r="F1600" s="21">
        <v>37350</v>
      </c>
      <c r="G1600" s="24" t="s">
        <v>307</v>
      </c>
      <c r="H1600" t="s">
        <v>278</v>
      </c>
      <c r="I1600" t="s">
        <v>334</v>
      </c>
      <c r="J1600" t="s">
        <v>330</v>
      </c>
      <c r="K1600" t="s">
        <v>342</v>
      </c>
    </row>
    <row r="1601" spans="1:11" x14ac:dyDescent="0.2">
      <c r="A1601">
        <v>9</v>
      </c>
      <c r="B1601" s="21">
        <v>46041</v>
      </c>
      <c r="C1601" t="s">
        <v>352</v>
      </c>
      <c r="D1601">
        <v>16</v>
      </c>
      <c r="E1601" t="s">
        <v>353</v>
      </c>
      <c r="F1601" s="21">
        <v>37350</v>
      </c>
      <c r="G1601" s="24" t="s">
        <v>307</v>
      </c>
      <c r="H1601" t="s">
        <v>283</v>
      </c>
      <c r="I1601" t="s">
        <v>334</v>
      </c>
      <c r="J1601" t="s">
        <v>330</v>
      </c>
      <c r="K1601" t="s">
        <v>335</v>
      </c>
    </row>
    <row r="1602" spans="1:11" x14ac:dyDescent="0.2">
      <c r="A1602">
        <v>9</v>
      </c>
      <c r="B1602" s="21">
        <v>46041</v>
      </c>
      <c r="C1602" t="s">
        <v>352</v>
      </c>
      <c r="D1602">
        <v>16</v>
      </c>
      <c r="E1602" t="s">
        <v>353</v>
      </c>
      <c r="F1602" s="21">
        <v>37350</v>
      </c>
      <c r="G1602" s="24" t="s">
        <v>307</v>
      </c>
      <c r="H1602" t="s">
        <v>287</v>
      </c>
      <c r="I1602" t="s">
        <v>339</v>
      </c>
      <c r="J1602" t="s">
        <v>332</v>
      </c>
      <c r="K1602" t="s">
        <v>336</v>
      </c>
    </row>
    <row r="1603" spans="1:11" x14ac:dyDescent="0.2">
      <c r="A1603">
        <v>9</v>
      </c>
      <c r="B1603" s="21">
        <v>46041</v>
      </c>
      <c r="C1603" t="s">
        <v>352</v>
      </c>
      <c r="D1603">
        <v>16</v>
      </c>
      <c r="E1603" t="s">
        <v>353</v>
      </c>
      <c r="F1603" s="21">
        <v>37350</v>
      </c>
      <c r="G1603" s="24" t="s">
        <v>307</v>
      </c>
      <c r="H1603" t="s">
        <v>296</v>
      </c>
      <c r="I1603" t="s">
        <v>334</v>
      </c>
      <c r="J1603" t="s">
        <v>330</v>
      </c>
      <c r="K1603" t="s">
        <v>342</v>
      </c>
    </row>
    <row r="1604" spans="1:11" x14ac:dyDescent="0.2">
      <c r="A1604">
        <v>9</v>
      </c>
      <c r="B1604" s="21">
        <v>46041</v>
      </c>
      <c r="C1604" t="s">
        <v>352</v>
      </c>
      <c r="D1604">
        <v>16</v>
      </c>
      <c r="E1604" t="s">
        <v>353</v>
      </c>
      <c r="F1604" s="21">
        <v>37350</v>
      </c>
      <c r="G1604" s="24" t="s">
        <v>307</v>
      </c>
      <c r="H1604" t="s">
        <v>282</v>
      </c>
      <c r="I1604" t="s">
        <v>334</v>
      </c>
      <c r="J1604" t="s">
        <v>330</v>
      </c>
      <c r="K1604" t="s">
        <v>342</v>
      </c>
    </row>
    <row r="1605" spans="1:11" x14ac:dyDescent="0.2">
      <c r="A1605">
        <v>9</v>
      </c>
      <c r="B1605" s="21">
        <v>46041</v>
      </c>
      <c r="C1605" t="s">
        <v>352</v>
      </c>
      <c r="D1605">
        <v>16</v>
      </c>
      <c r="E1605" t="s">
        <v>353</v>
      </c>
      <c r="F1605" s="21">
        <v>37350</v>
      </c>
      <c r="G1605" s="24" t="s">
        <v>307</v>
      </c>
      <c r="H1605" t="s">
        <v>278</v>
      </c>
      <c r="I1605" t="s">
        <v>334</v>
      </c>
      <c r="J1605" t="s">
        <v>330</v>
      </c>
      <c r="K1605" t="s">
        <v>342</v>
      </c>
    </row>
    <row r="1606" spans="1:11" x14ac:dyDescent="0.2">
      <c r="A1606">
        <v>9</v>
      </c>
      <c r="B1606" s="21">
        <v>46041</v>
      </c>
      <c r="C1606" t="s">
        <v>352</v>
      </c>
      <c r="D1606">
        <v>16</v>
      </c>
      <c r="E1606" t="s">
        <v>353</v>
      </c>
      <c r="F1606" s="21">
        <v>37350</v>
      </c>
      <c r="G1606" s="24" t="s">
        <v>307</v>
      </c>
      <c r="H1606" t="s">
        <v>287</v>
      </c>
      <c r="I1606" t="s">
        <v>348</v>
      </c>
      <c r="J1606" t="s">
        <v>80</v>
      </c>
      <c r="K1606" t="s">
        <v>333</v>
      </c>
    </row>
    <row r="1607" spans="1:11" x14ac:dyDescent="0.2">
      <c r="A1607">
        <v>9</v>
      </c>
      <c r="B1607" s="21">
        <v>46041</v>
      </c>
      <c r="C1607" t="s">
        <v>352</v>
      </c>
      <c r="D1607">
        <v>16</v>
      </c>
      <c r="E1607" t="s">
        <v>353</v>
      </c>
      <c r="F1607" s="21">
        <v>37350</v>
      </c>
      <c r="G1607" s="24" t="s">
        <v>309</v>
      </c>
      <c r="H1607" t="s">
        <v>296</v>
      </c>
      <c r="I1607" t="s">
        <v>348</v>
      </c>
      <c r="J1607" t="s">
        <v>80</v>
      </c>
      <c r="K1607" t="s">
        <v>333</v>
      </c>
    </row>
    <row r="1608" spans="1:11" x14ac:dyDescent="0.2">
      <c r="A1608">
        <v>9</v>
      </c>
      <c r="B1608" s="21">
        <v>46041</v>
      </c>
      <c r="C1608" t="s">
        <v>352</v>
      </c>
      <c r="D1608">
        <v>16</v>
      </c>
      <c r="E1608" t="s">
        <v>353</v>
      </c>
      <c r="F1608" s="21">
        <v>37350</v>
      </c>
      <c r="G1608" s="24" t="s">
        <v>309</v>
      </c>
      <c r="H1608" t="s">
        <v>296</v>
      </c>
      <c r="I1608" t="s">
        <v>329</v>
      </c>
      <c r="J1608" t="s">
        <v>330</v>
      </c>
      <c r="K1608" t="s">
        <v>333</v>
      </c>
    </row>
    <row r="1609" spans="1:11" x14ac:dyDescent="0.2">
      <c r="A1609">
        <v>9</v>
      </c>
      <c r="B1609" s="21">
        <v>46041</v>
      </c>
      <c r="C1609" t="s">
        <v>352</v>
      </c>
      <c r="D1609">
        <v>16</v>
      </c>
      <c r="E1609" t="s">
        <v>353</v>
      </c>
      <c r="F1609" s="21">
        <v>37350</v>
      </c>
      <c r="G1609" s="24" t="s">
        <v>309</v>
      </c>
      <c r="H1609" t="s">
        <v>295</v>
      </c>
      <c r="I1609" t="s">
        <v>355</v>
      </c>
      <c r="J1609" t="s">
        <v>330</v>
      </c>
      <c r="K1609" t="s">
        <v>338</v>
      </c>
    </row>
    <row r="1610" spans="1:11" x14ac:dyDescent="0.2">
      <c r="A1610">
        <v>9</v>
      </c>
      <c r="B1610" s="21">
        <v>46041</v>
      </c>
      <c r="C1610" t="s">
        <v>352</v>
      </c>
      <c r="D1610">
        <v>16</v>
      </c>
      <c r="E1610" t="s">
        <v>353</v>
      </c>
      <c r="F1610" s="21">
        <v>37350</v>
      </c>
      <c r="G1610" s="24" t="s">
        <v>309</v>
      </c>
      <c r="H1610" t="s">
        <v>296</v>
      </c>
      <c r="I1610" t="s">
        <v>341</v>
      </c>
      <c r="J1610" t="s">
        <v>330</v>
      </c>
      <c r="K1610" t="s">
        <v>333</v>
      </c>
    </row>
    <row r="1611" spans="1:11" x14ac:dyDescent="0.2">
      <c r="A1611">
        <v>9</v>
      </c>
      <c r="B1611" s="21">
        <v>46041</v>
      </c>
      <c r="C1611" t="s">
        <v>352</v>
      </c>
      <c r="D1611">
        <v>16</v>
      </c>
      <c r="E1611" t="s">
        <v>353</v>
      </c>
      <c r="F1611" s="21">
        <v>37350</v>
      </c>
      <c r="G1611" s="24" t="s">
        <v>309</v>
      </c>
      <c r="H1611" t="s">
        <v>296</v>
      </c>
      <c r="I1611" t="s">
        <v>347</v>
      </c>
      <c r="J1611" t="s">
        <v>330</v>
      </c>
      <c r="K1611" t="s">
        <v>333</v>
      </c>
    </row>
    <row r="1612" spans="1:11" x14ac:dyDescent="0.2">
      <c r="A1612">
        <v>9</v>
      </c>
      <c r="B1612" s="21">
        <v>46041</v>
      </c>
      <c r="C1612" t="s">
        <v>352</v>
      </c>
      <c r="D1612">
        <v>16</v>
      </c>
      <c r="E1612" t="s">
        <v>353</v>
      </c>
      <c r="F1612" s="21">
        <v>37350</v>
      </c>
      <c r="G1612" s="24" t="s">
        <v>309</v>
      </c>
      <c r="H1612" t="s">
        <v>296</v>
      </c>
      <c r="I1612" t="s">
        <v>347</v>
      </c>
      <c r="J1612" t="s">
        <v>330</v>
      </c>
      <c r="K1612" t="s">
        <v>333</v>
      </c>
    </row>
    <row r="1613" spans="1:11" x14ac:dyDescent="0.2">
      <c r="A1613">
        <v>9</v>
      </c>
      <c r="B1613" s="21">
        <v>46041</v>
      </c>
      <c r="C1613" t="s">
        <v>352</v>
      </c>
      <c r="D1613">
        <v>16</v>
      </c>
      <c r="E1613" t="s">
        <v>353</v>
      </c>
      <c r="F1613" s="21">
        <v>37350</v>
      </c>
      <c r="G1613" s="24" t="s">
        <v>309</v>
      </c>
      <c r="H1613" t="s">
        <v>278</v>
      </c>
      <c r="I1613" t="s">
        <v>355</v>
      </c>
      <c r="J1613" t="s">
        <v>330</v>
      </c>
      <c r="K1613" t="s">
        <v>342</v>
      </c>
    </row>
    <row r="1614" spans="1:11" x14ac:dyDescent="0.2">
      <c r="A1614">
        <v>9</v>
      </c>
      <c r="B1614" s="21">
        <v>46041</v>
      </c>
      <c r="C1614" t="s">
        <v>352</v>
      </c>
      <c r="D1614">
        <v>16</v>
      </c>
      <c r="E1614" t="s">
        <v>353</v>
      </c>
      <c r="F1614" s="21">
        <v>37350</v>
      </c>
      <c r="G1614" s="24" t="s">
        <v>309</v>
      </c>
      <c r="H1614" t="s">
        <v>292</v>
      </c>
      <c r="I1614" t="s">
        <v>337</v>
      </c>
      <c r="J1614" t="s">
        <v>332</v>
      </c>
      <c r="K1614" t="s">
        <v>333</v>
      </c>
    </row>
    <row r="1615" spans="1:11" x14ac:dyDescent="0.2">
      <c r="A1615">
        <v>9</v>
      </c>
      <c r="B1615" s="21">
        <v>46041</v>
      </c>
      <c r="C1615" t="s">
        <v>352</v>
      </c>
      <c r="D1615">
        <v>16</v>
      </c>
      <c r="E1615" t="s">
        <v>353</v>
      </c>
      <c r="F1615" s="21">
        <v>37350</v>
      </c>
      <c r="G1615" s="24" t="s">
        <v>309</v>
      </c>
      <c r="H1615" t="s">
        <v>282</v>
      </c>
      <c r="I1615" t="s">
        <v>355</v>
      </c>
      <c r="J1615" t="s">
        <v>330</v>
      </c>
      <c r="K1615" t="s">
        <v>338</v>
      </c>
    </row>
    <row r="1616" spans="1:11" x14ac:dyDescent="0.2">
      <c r="A1616">
        <v>9</v>
      </c>
      <c r="B1616" s="21">
        <v>46041</v>
      </c>
      <c r="C1616" t="s">
        <v>352</v>
      </c>
      <c r="D1616">
        <v>16</v>
      </c>
      <c r="E1616" t="s">
        <v>353</v>
      </c>
      <c r="F1616" s="21">
        <v>37350</v>
      </c>
      <c r="G1616" s="24" t="s">
        <v>309</v>
      </c>
      <c r="H1616" t="s">
        <v>285</v>
      </c>
      <c r="I1616" t="s">
        <v>339</v>
      </c>
      <c r="J1616" t="s">
        <v>330</v>
      </c>
      <c r="K1616" t="s">
        <v>343</v>
      </c>
    </row>
    <row r="1617" spans="1:11" x14ac:dyDescent="0.2">
      <c r="A1617">
        <v>9</v>
      </c>
      <c r="B1617" s="21">
        <v>46041</v>
      </c>
      <c r="C1617" t="s">
        <v>352</v>
      </c>
      <c r="D1617">
        <v>16</v>
      </c>
      <c r="E1617" t="s">
        <v>353</v>
      </c>
      <c r="F1617" s="21">
        <v>37350</v>
      </c>
      <c r="G1617" s="24" t="s">
        <v>309</v>
      </c>
      <c r="H1617" t="s">
        <v>282</v>
      </c>
      <c r="I1617" t="s">
        <v>334</v>
      </c>
      <c r="J1617" t="s">
        <v>330</v>
      </c>
      <c r="K1617" t="s">
        <v>342</v>
      </c>
    </row>
    <row r="1618" spans="1:11" x14ac:dyDescent="0.2">
      <c r="A1618">
        <v>9</v>
      </c>
      <c r="B1618" s="21">
        <v>46041</v>
      </c>
      <c r="C1618" t="s">
        <v>352</v>
      </c>
      <c r="D1618">
        <v>16</v>
      </c>
      <c r="E1618" t="s">
        <v>353</v>
      </c>
      <c r="F1618" s="21">
        <v>37350</v>
      </c>
      <c r="G1618" s="24" t="s">
        <v>309</v>
      </c>
      <c r="H1618" t="s">
        <v>293</v>
      </c>
      <c r="I1618" t="s">
        <v>339</v>
      </c>
      <c r="J1618" t="s">
        <v>330</v>
      </c>
      <c r="K1618" t="s">
        <v>331</v>
      </c>
    </row>
    <row r="1619" spans="1:11" x14ac:dyDescent="0.2">
      <c r="A1619">
        <v>9</v>
      </c>
      <c r="B1619" s="21">
        <v>46041</v>
      </c>
      <c r="C1619" t="s">
        <v>352</v>
      </c>
      <c r="D1619">
        <v>16</v>
      </c>
      <c r="E1619" t="s">
        <v>353</v>
      </c>
      <c r="F1619" s="21">
        <v>37350</v>
      </c>
      <c r="G1619" s="24" t="s">
        <v>309</v>
      </c>
      <c r="H1619" t="s">
        <v>282</v>
      </c>
      <c r="I1619" t="s">
        <v>344</v>
      </c>
      <c r="J1619" t="s">
        <v>330</v>
      </c>
      <c r="K1619" t="s">
        <v>331</v>
      </c>
    </row>
    <row r="1620" spans="1:11" x14ac:dyDescent="0.2">
      <c r="A1620">
        <v>9</v>
      </c>
      <c r="B1620" s="21">
        <v>46041</v>
      </c>
      <c r="C1620" t="s">
        <v>352</v>
      </c>
      <c r="D1620">
        <v>16</v>
      </c>
      <c r="E1620" t="s">
        <v>353</v>
      </c>
      <c r="F1620" s="21">
        <v>37350</v>
      </c>
      <c r="G1620" s="24" t="s">
        <v>309</v>
      </c>
      <c r="H1620" t="s">
        <v>282</v>
      </c>
      <c r="I1620" t="s">
        <v>334</v>
      </c>
      <c r="J1620" t="s">
        <v>330</v>
      </c>
      <c r="K1620" t="s">
        <v>331</v>
      </c>
    </row>
    <row r="1621" spans="1:11" x14ac:dyDescent="0.2">
      <c r="A1621">
        <v>9</v>
      </c>
      <c r="B1621" s="21">
        <v>46041</v>
      </c>
      <c r="C1621" t="s">
        <v>352</v>
      </c>
      <c r="D1621">
        <v>16</v>
      </c>
      <c r="E1621" t="s">
        <v>353</v>
      </c>
      <c r="F1621" s="21">
        <v>37350</v>
      </c>
      <c r="G1621" s="24" t="s">
        <v>309</v>
      </c>
      <c r="H1621" t="s">
        <v>282</v>
      </c>
      <c r="I1621" t="s">
        <v>355</v>
      </c>
      <c r="J1621" t="s">
        <v>330</v>
      </c>
      <c r="K1621" t="s">
        <v>331</v>
      </c>
    </row>
    <row r="1622" spans="1:11" x14ac:dyDescent="0.2">
      <c r="A1622">
        <v>9</v>
      </c>
      <c r="B1622" s="21">
        <v>46041</v>
      </c>
      <c r="C1622" t="s">
        <v>352</v>
      </c>
      <c r="D1622">
        <v>16</v>
      </c>
      <c r="E1622" t="s">
        <v>353</v>
      </c>
      <c r="F1622" s="21">
        <v>37350</v>
      </c>
      <c r="G1622" s="24" t="s">
        <v>309</v>
      </c>
      <c r="H1622" t="s">
        <v>293</v>
      </c>
      <c r="I1622" t="s">
        <v>329</v>
      </c>
      <c r="J1622" t="s">
        <v>330</v>
      </c>
      <c r="K1622" t="s">
        <v>331</v>
      </c>
    </row>
    <row r="1623" spans="1:11" x14ac:dyDescent="0.2">
      <c r="A1623">
        <v>9</v>
      </c>
      <c r="B1623" s="21">
        <v>46041</v>
      </c>
      <c r="C1623" t="s">
        <v>352</v>
      </c>
      <c r="D1623">
        <v>16</v>
      </c>
      <c r="E1623" t="s">
        <v>353</v>
      </c>
      <c r="F1623" s="21">
        <v>37350</v>
      </c>
      <c r="G1623" s="24" t="s">
        <v>309</v>
      </c>
      <c r="H1623" t="s">
        <v>292</v>
      </c>
      <c r="I1623" t="s">
        <v>329</v>
      </c>
      <c r="J1623" t="s">
        <v>330</v>
      </c>
      <c r="K1623" t="s">
        <v>331</v>
      </c>
    </row>
    <row r="1624" spans="1:11" x14ac:dyDescent="0.2">
      <c r="A1624">
        <v>9</v>
      </c>
      <c r="B1624" s="21">
        <v>46041</v>
      </c>
      <c r="C1624" t="s">
        <v>352</v>
      </c>
      <c r="D1624">
        <v>16</v>
      </c>
      <c r="E1624" t="s">
        <v>353</v>
      </c>
      <c r="F1624" s="21">
        <v>37350</v>
      </c>
      <c r="G1624" s="24" t="s">
        <v>309</v>
      </c>
      <c r="H1624" t="s">
        <v>292</v>
      </c>
      <c r="I1624" t="s">
        <v>341</v>
      </c>
      <c r="J1624" t="s">
        <v>330</v>
      </c>
      <c r="K1624" t="s">
        <v>331</v>
      </c>
    </row>
    <row r="1625" spans="1:11" x14ac:dyDescent="0.2">
      <c r="A1625">
        <v>9</v>
      </c>
      <c r="B1625" s="21">
        <v>46041</v>
      </c>
      <c r="C1625" t="s">
        <v>352</v>
      </c>
      <c r="D1625">
        <v>16</v>
      </c>
      <c r="E1625" t="s">
        <v>353</v>
      </c>
      <c r="F1625" s="21">
        <v>37350</v>
      </c>
      <c r="G1625" s="24" t="s">
        <v>309</v>
      </c>
      <c r="H1625" t="s">
        <v>285</v>
      </c>
      <c r="I1625" t="s">
        <v>329</v>
      </c>
      <c r="J1625" t="s">
        <v>332</v>
      </c>
      <c r="K1625" t="s">
        <v>333</v>
      </c>
    </row>
    <row r="1626" spans="1:11" x14ac:dyDescent="0.2">
      <c r="A1626">
        <v>9</v>
      </c>
      <c r="B1626" s="21">
        <v>46041</v>
      </c>
      <c r="C1626" t="s">
        <v>352</v>
      </c>
      <c r="D1626">
        <v>16</v>
      </c>
      <c r="E1626" t="s">
        <v>353</v>
      </c>
      <c r="F1626" s="21">
        <v>37350</v>
      </c>
      <c r="G1626" s="24" t="s">
        <v>309</v>
      </c>
      <c r="H1626" t="s">
        <v>282</v>
      </c>
      <c r="I1626" t="s">
        <v>329</v>
      </c>
      <c r="J1626" t="s">
        <v>330</v>
      </c>
      <c r="K1626" t="s">
        <v>342</v>
      </c>
    </row>
    <row r="1627" spans="1:11" x14ac:dyDescent="0.2">
      <c r="A1627">
        <v>9</v>
      </c>
      <c r="B1627" s="21">
        <v>46041</v>
      </c>
      <c r="C1627" t="s">
        <v>352</v>
      </c>
      <c r="D1627">
        <v>16</v>
      </c>
      <c r="E1627" t="s">
        <v>353</v>
      </c>
      <c r="F1627" s="21">
        <v>37350</v>
      </c>
      <c r="G1627" s="24" t="s">
        <v>309</v>
      </c>
      <c r="H1627" t="s">
        <v>290</v>
      </c>
      <c r="I1627" t="s">
        <v>345</v>
      </c>
      <c r="J1627" t="s">
        <v>330</v>
      </c>
      <c r="K1627" t="s">
        <v>342</v>
      </c>
    </row>
    <row r="1628" spans="1:11" x14ac:dyDescent="0.2">
      <c r="A1628">
        <v>9</v>
      </c>
      <c r="B1628" s="21">
        <v>46041</v>
      </c>
      <c r="C1628" t="s">
        <v>352</v>
      </c>
      <c r="D1628">
        <v>16</v>
      </c>
      <c r="E1628" t="s">
        <v>353</v>
      </c>
      <c r="F1628" s="21">
        <v>37350</v>
      </c>
      <c r="G1628" s="24" t="s">
        <v>309</v>
      </c>
      <c r="H1628" t="s">
        <v>290</v>
      </c>
      <c r="I1628" t="s">
        <v>334</v>
      </c>
      <c r="J1628" t="s">
        <v>330</v>
      </c>
      <c r="K1628" t="s">
        <v>342</v>
      </c>
    </row>
    <row r="1629" spans="1:11" x14ac:dyDescent="0.2">
      <c r="A1629">
        <v>9</v>
      </c>
      <c r="B1629" s="21">
        <v>46041</v>
      </c>
      <c r="C1629" t="s">
        <v>352</v>
      </c>
      <c r="D1629">
        <v>16</v>
      </c>
      <c r="E1629" t="s">
        <v>353</v>
      </c>
      <c r="F1629" s="21">
        <v>37350</v>
      </c>
      <c r="G1629" s="24" t="s">
        <v>309</v>
      </c>
      <c r="H1629" t="s">
        <v>292</v>
      </c>
      <c r="I1629" t="s">
        <v>339</v>
      </c>
      <c r="J1629" t="s">
        <v>330</v>
      </c>
      <c r="K1629" t="s">
        <v>333</v>
      </c>
    </row>
    <row r="1630" spans="1:11" x14ac:dyDescent="0.2">
      <c r="A1630">
        <v>9</v>
      </c>
      <c r="B1630" s="21">
        <v>46041</v>
      </c>
      <c r="C1630" t="s">
        <v>352</v>
      </c>
      <c r="D1630">
        <v>16</v>
      </c>
      <c r="E1630" t="s">
        <v>353</v>
      </c>
      <c r="F1630" s="21">
        <v>37350</v>
      </c>
      <c r="G1630" s="24" t="s">
        <v>309</v>
      </c>
      <c r="H1630" t="s">
        <v>278</v>
      </c>
      <c r="I1630" t="s">
        <v>355</v>
      </c>
      <c r="J1630" t="s">
        <v>330</v>
      </c>
      <c r="K1630" t="s">
        <v>342</v>
      </c>
    </row>
    <row r="1631" spans="1:11" x14ac:dyDescent="0.2">
      <c r="A1631">
        <v>9</v>
      </c>
      <c r="B1631" s="21">
        <v>46041</v>
      </c>
      <c r="C1631" t="s">
        <v>352</v>
      </c>
      <c r="D1631">
        <v>16</v>
      </c>
      <c r="E1631" t="s">
        <v>353</v>
      </c>
      <c r="F1631" s="21">
        <v>37350</v>
      </c>
      <c r="G1631" s="24" t="s">
        <v>309</v>
      </c>
      <c r="H1631" t="s">
        <v>278</v>
      </c>
      <c r="I1631" t="s">
        <v>341</v>
      </c>
      <c r="J1631" t="s">
        <v>330</v>
      </c>
      <c r="K1631" t="s">
        <v>335</v>
      </c>
    </row>
    <row r="1632" spans="1:11" x14ac:dyDescent="0.2">
      <c r="A1632">
        <v>9</v>
      </c>
      <c r="B1632" s="21">
        <v>46041</v>
      </c>
      <c r="C1632" t="s">
        <v>352</v>
      </c>
      <c r="D1632">
        <v>16</v>
      </c>
      <c r="E1632" t="s">
        <v>353</v>
      </c>
      <c r="F1632" s="21">
        <v>37350</v>
      </c>
      <c r="G1632" s="24" t="s">
        <v>309</v>
      </c>
      <c r="H1632" t="s">
        <v>282</v>
      </c>
      <c r="I1632" t="s">
        <v>334</v>
      </c>
      <c r="J1632" t="s">
        <v>330</v>
      </c>
      <c r="K1632" t="s">
        <v>335</v>
      </c>
    </row>
    <row r="1633" spans="1:13" x14ac:dyDescent="0.2">
      <c r="A1633">
        <v>9</v>
      </c>
      <c r="B1633" s="21">
        <v>46041</v>
      </c>
      <c r="C1633" t="s">
        <v>352</v>
      </c>
      <c r="D1633">
        <v>16</v>
      </c>
      <c r="E1633" t="s">
        <v>353</v>
      </c>
      <c r="F1633" s="21">
        <v>37350</v>
      </c>
      <c r="G1633" s="24" t="s">
        <v>309</v>
      </c>
      <c r="H1633" t="s">
        <v>283</v>
      </c>
      <c r="I1633" t="s">
        <v>334</v>
      </c>
      <c r="J1633" t="s">
        <v>330</v>
      </c>
      <c r="K1633" t="s">
        <v>335</v>
      </c>
    </row>
    <row r="1634" spans="1:13" x14ac:dyDescent="0.2">
      <c r="A1634">
        <v>9</v>
      </c>
      <c r="B1634" s="21">
        <v>46041</v>
      </c>
      <c r="C1634" t="s">
        <v>352</v>
      </c>
      <c r="D1634">
        <v>16</v>
      </c>
      <c r="E1634" t="s">
        <v>353</v>
      </c>
      <c r="F1634" s="21">
        <v>37350</v>
      </c>
      <c r="G1634" s="24" t="s">
        <v>309</v>
      </c>
      <c r="H1634" t="s">
        <v>287</v>
      </c>
      <c r="I1634" t="s">
        <v>329</v>
      </c>
      <c r="J1634" t="s">
        <v>332</v>
      </c>
      <c r="K1634" t="s">
        <v>346</v>
      </c>
    </row>
    <row r="1635" spans="1:13" x14ac:dyDescent="0.2">
      <c r="A1635">
        <v>9</v>
      </c>
      <c r="B1635" s="21">
        <v>46041</v>
      </c>
      <c r="C1635" t="s">
        <v>352</v>
      </c>
      <c r="D1635">
        <v>16</v>
      </c>
      <c r="E1635" t="s">
        <v>353</v>
      </c>
      <c r="F1635" s="21">
        <v>37350</v>
      </c>
      <c r="G1635" s="24" t="s">
        <v>309</v>
      </c>
      <c r="H1635" t="s">
        <v>296</v>
      </c>
      <c r="I1635" t="s">
        <v>355</v>
      </c>
      <c r="J1635" t="s">
        <v>330</v>
      </c>
      <c r="K1635" t="s">
        <v>340</v>
      </c>
    </row>
    <row r="1636" spans="1:13" x14ac:dyDescent="0.2">
      <c r="A1636">
        <v>9</v>
      </c>
      <c r="B1636" s="21">
        <v>46041</v>
      </c>
      <c r="C1636" t="s">
        <v>352</v>
      </c>
      <c r="D1636">
        <v>16</v>
      </c>
      <c r="E1636" t="s">
        <v>353</v>
      </c>
      <c r="F1636" s="21">
        <v>37350</v>
      </c>
      <c r="G1636" s="24" t="s">
        <v>309</v>
      </c>
      <c r="H1636" t="s">
        <v>296</v>
      </c>
      <c r="I1636" t="s">
        <v>329</v>
      </c>
      <c r="J1636" t="s">
        <v>330</v>
      </c>
      <c r="K1636" t="s">
        <v>340</v>
      </c>
    </row>
    <row r="1637" spans="1:13" x14ac:dyDescent="0.2">
      <c r="A1637">
        <v>9</v>
      </c>
      <c r="B1637" s="21">
        <v>46041</v>
      </c>
      <c r="C1637" t="s">
        <v>352</v>
      </c>
      <c r="D1637">
        <v>16</v>
      </c>
      <c r="E1637" t="s">
        <v>353</v>
      </c>
      <c r="F1637" s="21">
        <v>37350</v>
      </c>
      <c r="G1637" s="24" t="s">
        <v>309</v>
      </c>
      <c r="H1637" t="s">
        <v>287</v>
      </c>
      <c r="I1637" t="s">
        <v>329</v>
      </c>
      <c r="J1637" t="s">
        <v>332</v>
      </c>
      <c r="K1637" t="s">
        <v>340</v>
      </c>
    </row>
    <row r="1638" spans="1:13" x14ac:dyDescent="0.2">
      <c r="A1638">
        <v>9</v>
      </c>
      <c r="B1638" s="21">
        <v>46041</v>
      </c>
      <c r="C1638" t="s">
        <v>352</v>
      </c>
      <c r="D1638">
        <v>16</v>
      </c>
      <c r="E1638" t="s">
        <v>353</v>
      </c>
      <c r="F1638" s="21">
        <v>37350</v>
      </c>
      <c r="G1638" s="24" t="s">
        <v>309</v>
      </c>
      <c r="H1638" t="s">
        <v>292</v>
      </c>
      <c r="I1638" t="s">
        <v>329</v>
      </c>
      <c r="J1638" t="s">
        <v>330</v>
      </c>
      <c r="K1638" t="s">
        <v>333</v>
      </c>
    </row>
    <row r="1639" spans="1:13" x14ac:dyDescent="0.2">
      <c r="A1639">
        <v>9</v>
      </c>
      <c r="B1639" s="21">
        <v>46041</v>
      </c>
      <c r="C1639" t="s">
        <v>352</v>
      </c>
      <c r="D1639">
        <v>16</v>
      </c>
      <c r="E1639" t="s">
        <v>353</v>
      </c>
      <c r="F1639" s="21">
        <v>37350</v>
      </c>
      <c r="G1639" s="24" t="s">
        <v>309</v>
      </c>
      <c r="H1639" t="s">
        <v>293</v>
      </c>
      <c r="I1639" t="s">
        <v>261</v>
      </c>
      <c r="J1639" t="s">
        <v>332</v>
      </c>
      <c r="K1639" t="s">
        <v>340</v>
      </c>
    </row>
    <row r="1640" spans="1:13" x14ac:dyDescent="0.2">
      <c r="A1640">
        <v>9</v>
      </c>
      <c r="B1640" s="21">
        <v>46041</v>
      </c>
      <c r="C1640" t="s">
        <v>352</v>
      </c>
      <c r="D1640">
        <v>16</v>
      </c>
      <c r="E1640" t="s">
        <v>353</v>
      </c>
      <c r="F1640" s="21">
        <v>37350</v>
      </c>
      <c r="G1640" s="24" t="s">
        <v>309</v>
      </c>
      <c r="H1640" t="s">
        <v>295</v>
      </c>
      <c r="I1640" t="s">
        <v>329</v>
      </c>
      <c r="J1640" t="s">
        <v>330</v>
      </c>
      <c r="K1640" t="s">
        <v>342</v>
      </c>
    </row>
    <row r="1641" spans="1:13" x14ac:dyDescent="0.2">
      <c r="A1641">
        <v>9</v>
      </c>
      <c r="B1641" s="21">
        <v>46041</v>
      </c>
      <c r="C1641" t="s">
        <v>352</v>
      </c>
      <c r="D1641">
        <v>16</v>
      </c>
      <c r="E1641" t="s">
        <v>353</v>
      </c>
      <c r="F1641" s="21">
        <v>37350</v>
      </c>
      <c r="G1641" s="24" t="s">
        <v>309</v>
      </c>
      <c r="H1641" t="s">
        <v>296</v>
      </c>
      <c r="I1641" t="s">
        <v>329</v>
      </c>
      <c r="J1641" t="s">
        <v>330</v>
      </c>
      <c r="K1641" t="s">
        <v>331</v>
      </c>
    </row>
    <row r="1642" spans="1:13" x14ac:dyDescent="0.2">
      <c r="A1642">
        <v>9</v>
      </c>
      <c r="B1642" s="21">
        <v>46041</v>
      </c>
      <c r="C1642" t="s">
        <v>352</v>
      </c>
      <c r="D1642">
        <v>16</v>
      </c>
      <c r="E1642" t="s">
        <v>353</v>
      </c>
      <c r="F1642" s="21">
        <v>37350</v>
      </c>
      <c r="G1642" s="24" t="s">
        <v>309</v>
      </c>
      <c r="H1642" t="s">
        <v>285</v>
      </c>
      <c r="I1642" t="s">
        <v>329</v>
      </c>
      <c r="J1642" t="s">
        <v>332</v>
      </c>
      <c r="K1642" t="s">
        <v>340</v>
      </c>
    </row>
    <row r="1643" spans="1:13" x14ac:dyDescent="0.2">
      <c r="A1643">
        <v>9</v>
      </c>
      <c r="B1643" s="21">
        <v>46041</v>
      </c>
      <c r="C1643" t="s">
        <v>352</v>
      </c>
      <c r="D1643">
        <v>16</v>
      </c>
      <c r="E1643" t="s">
        <v>353</v>
      </c>
      <c r="F1643" s="21">
        <v>37350</v>
      </c>
      <c r="G1643" s="24" t="s">
        <v>309</v>
      </c>
      <c r="H1643" t="s">
        <v>292</v>
      </c>
      <c r="I1643" t="s">
        <v>329</v>
      </c>
      <c r="J1643" t="s">
        <v>332</v>
      </c>
      <c r="K1643" t="s">
        <v>331</v>
      </c>
    </row>
    <row r="1644" spans="1:13" x14ac:dyDescent="0.2">
      <c r="A1644">
        <v>9</v>
      </c>
      <c r="B1644" s="21">
        <v>46041</v>
      </c>
      <c r="C1644" t="s">
        <v>352</v>
      </c>
      <c r="D1644">
        <v>16</v>
      </c>
      <c r="E1644" t="s">
        <v>353</v>
      </c>
      <c r="F1644" s="21">
        <v>37350</v>
      </c>
      <c r="G1644" s="24" t="s">
        <v>309</v>
      </c>
      <c r="H1644" t="s">
        <v>296</v>
      </c>
      <c r="I1644" t="s">
        <v>329</v>
      </c>
      <c r="J1644" t="s">
        <v>330</v>
      </c>
      <c r="K1644" t="s">
        <v>331</v>
      </c>
    </row>
    <row r="1645" spans="1:13" x14ac:dyDescent="0.2">
      <c r="A1645">
        <v>9</v>
      </c>
      <c r="B1645" s="21">
        <v>46041</v>
      </c>
      <c r="C1645" t="s">
        <v>352</v>
      </c>
      <c r="D1645">
        <v>16</v>
      </c>
      <c r="E1645" t="s">
        <v>353</v>
      </c>
      <c r="F1645" s="21">
        <v>37350</v>
      </c>
      <c r="G1645" s="24" t="s">
        <v>309</v>
      </c>
      <c r="H1645" t="s">
        <v>296</v>
      </c>
      <c r="I1645" t="s">
        <v>341</v>
      </c>
      <c r="J1645" t="s">
        <v>330</v>
      </c>
      <c r="K1645" t="s">
        <v>331</v>
      </c>
    </row>
    <row r="1646" spans="1:13" x14ac:dyDescent="0.2">
      <c r="A1646">
        <v>9</v>
      </c>
      <c r="B1646" s="21">
        <v>46041</v>
      </c>
      <c r="C1646" t="s">
        <v>352</v>
      </c>
      <c r="D1646">
        <v>16</v>
      </c>
      <c r="E1646" t="s">
        <v>353</v>
      </c>
      <c r="F1646" s="21">
        <v>37350</v>
      </c>
      <c r="G1646" s="24" t="s">
        <v>309</v>
      </c>
      <c r="H1646" t="s">
        <v>278</v>
      </c>
      <c r="I1646" t="s">
        <v>355</v>
      </c>
      <c r="J1646" t="s">
        <v>330</v>
      </c>
      <c r="K1646" t="s">
        <v>342</v>
      </c>
    </row>
    <row r="1647" spans="1:13" x14ac:dyDescent="0.2">
      <c r="A1647">
        <v>9</v>
      </c>
      <c r="B1647" s="21">
        <v>46041</v>
      </c>
      <c r="C1647" t="s">
        <v>352</v>
      </c>
      <c r="D1647">
        <v>16</v>
      </c>
      <c r="E1647" t="s">
        <v>353</v>
      </c>
      <c r="F1647" s="21">
        <v>37350</v>
      </c>
      <c r="G1647" s="24" t="s">
        <v>309</v>
      </c>
      <c r="H1647" t="s">
        <v>285</v>
      </c>
      <c r="I1647" t="s">
        <v>329</v>
      </c>
      <c r="J1647" t="s">
        <v>332</v>
      </c>
      <c r="K1647" t="s">
        <v>340</v>
      </c>
      <c r="M1647" t="s">
        <v>357</v>
      </c>
    </row>
    <row r="1648" spans="1:13" x14ac:dyDescent="0.2">
      <c r="A1648">
        <v>9</v>
      </c>
      <c r="B1648" s="21">
        <v>46041</v>
      </c>
      <c r="C1648" t="s">
        <v>352</v>
      </c>
      <c r="D1648">
        <v>16</v>
      </c>
      <c r="E1648" t="s">
        <v>353</v>
      </c>
      <c r="F1648" s="21">
        <v>37350</v>
      </c>
      <c r="G1648" s="24" t="s">
        <v>309</v>
      </c>
      <c r="H1648" t="s">
        <v>287</v>
      </c>
      <c r="I1648" t="s">
        <v>329</v>
      </c>
      <c r="J1648" t="s">
        <v>332</v>
      </c>
      <c r="K1648" t="s">
        <v>340</v>
      </c>
    </row>
    <row r="1649" spans="1:11" x14ac:dyDescent="0.2">
      <c r="A1649">
        <v>9</v>
      </c>
      <c r="B1649" s="21">
        <v>46041</v>
      </c>
      <c r="C1649" t="s">
        <v>352</v>
      </c>
      <c r="D1649">
        <v>16</v>
      </c>
      <c r="E1649" t="s">
        <v>353</v>
      </c>
      <c r="F1649" s="21">
        <v>37350</v>
      </c>
      <c r="G1649" s="24" t="s">
        <v>312</v>
      </c>
      <c r="H1649" t="s">
        <v>287</v>
      </c>
      <c r="I1649" t="s">
        <v>339</v>
      </c>
      <c r="K1649" t="s">
        <v>333</v>
      </c>
    </row>
    <row r="1650" spans="1:11" x14ac:dyDescent="0.2">
      <c r="A1650">
        <v>9</v>
      </c>
      <c r="B1650" s="21">
        <v>46041</v>
      </c>
      <c r="C1650" t="s">
        <v>352</v>
      </c>
      <c r="D1650">
        <v>16</v>
      </c>
      <c r="E1650" t="s">
        <v>353</v>
      </c>
      <c r="F1650" s="21">
        <v>37350</v>
      </c>
      <c r="G1650" s="24" t="s">
        <v>312</v>
      </c>
      <c r="H1650" t="s">
        <v>296</v>
      </c>
      <c r="I1650" t="s">
        <v>329</v>
      </c>
      <c r="J1650" t="s">
        <v>330</v>
      </c>
      <c r="K1650" t="s">
        <v>331</v>
      </c>
    </row>
    <row r="1651" spans="1:11" x14ac:dyDescent="0.2">
      <c r="A1651">
        <v>9</v>
      </c>
      <c r="B1651" s="21">
        <v>46041</v>
      </c>
      <c r="C1651" t="s">
        <v>352</v>
      </c>
      <c r="D1651">
        <v>16</v>
      </c>
      <c r="E1651" t="s">
        <v>353</v>
      </c>
      <c r="F1651" s="21">
        <v>37350</v>
      </c>
      <c r="G1651" s="24" t="s">
        <v>312</v>
      </c>
      <c r="H1651" t="s">
        <v>295</v>
      </c>
      <c r="I1651" t="s">
        <v>329</v>
      </c>
      <c r="J1651" t="s">
        <v>330</v>
      </c>
      <c r="K1651" t="s">
        <v>338</v>
      </c>
    </row>
    <row r="1652" spans="1:11" x14ac:dyDescent="0.2">
      <c r="A1652">
        <v>9</v>
      </c>
      <c r="B1652" s="21">
        <v>46041</v>
      </c>
      <c r="C1652" t="s">
        <v>352</v>
      </c>
      <c r="D1652">
        <v>16</v>
      </c>
      <c r="E1652" t="s">
        <v>353</v>
      </c>
      <c r="F1652" s="21">
        <v>37350</v>
      </c>
      <c r="G1652" s="24" t="s">
        <v>312</v>
      </c>
      <c r="H1652" t="s">
        <v>285</v>
      </c>
      <c r="I1652" t="s">
        <v>329</v>
      </c>
      <c r="J1652" t="s">
        <v>332</v>
      </c>
      <c r="K1652" t="s">
        <v>333</v>
      </c>
    </row>
    <row r="1653" spans="1:11" x14ac:dyDescent="0.2">
      <c r="A1653">
        <v>9</v>
      </c>
      <c r="B1653" s="21">
        <v>46041</v>
      </c>
      <c r="C1653" t="s">
        <v>352</v>
      </c>
      <c r="D1653">
        <v>16</v>
      </c>
      <c r="E1653" t="s">
        <v>353</v>
      </c>
      <c r="F1653" s="21">
        <v>37350</v>
      </c>
      <c r="G1653" s="24" t="s">
        <v>312</v>
      </c>
      <c r="H1653" t="s">
        <v>295</v>
      </c>
      <c r="I1653" t="s">
        <v>334</v>
      </c>
      <c r="J1653" t="s">
        <v>330</v>
      </c>
      <c r="K1653" t="s">
        <v>338</v>
      </c>
    </row>
    <row r="1654" spans="1:11" x14ac:dyDescent="0.2">
      <c r="A1654">
        <v>9</v>
      </c>
      <c r="B1654" s="21">
        <v>46041</v>
      </c>
      <c r="C1654" t="s">
        <v>352</v>
      </c>
      <c r="D1654">
        <v>16</v>
      </c>
      <c r="E1654" t="s">
        <v>353</v>
      </c>
      <c r="F1654" s="21">
        <v>37350</v>
      </c>
      <c r="G1654" s="24" t="s">
        <v>312</v>
      </c>
      <c r="H1654" t="s">
        <v>282</v>
      </c>
      <c r="I1654" t="s">
        <v>341</v>
      </c>
      <c r="J1654" t="s">
        <v>330</v>
      </c>
      <c r="K1654" t="s">
        <v>342</v>
      </c>
    </row>
    <row r="1655" spans="1:11" x14ac:dyDescent="0.2">
      <c r="A1655">
        <v>9</v>
      </c>
      <c r="B1655" s="21">
        <v>46041</v>
      </c>
      <c r="C1655" t="s">
        <v>352</v>
      </c>
      <c r="D1655">
        <v>16</v>
      </c>
      <c r="E1655" t="s">
        <v>353</v>
      </c>
      <c r="F1655" s="21">
        <v>37350</v>
      </c>
      <c r="G1655" s="24" t="s">
        <v>312</v>
      </c>
      <c r="H1655" t="s">
        <v>282</v>
      </c>
      <c r="I1655" t="s">
        <v>334</v>
      </c>
      <c r="J1655" t="s">
        <v>330</v>
      </c>
      <c r="K1655" t="s">
        <v>338</v>
      </c>
    </row>
    <row r="1656" spans="1:11" x14ac:dyDescent="0.2">
      <c r="A1656">
        <v>9</v>
      </c>
      <c r="B1656" s="21">
        <v>46041</v>
      </c>
      <c r="C1656" t="s">
        <v>352</v>
      </c>
      <c r="D1656">
        <v>16</v>
      </c>
      <c r="E1656" t="s">
        <v>353</v>
      </c>
      <c r="F1656" s="21">
        <v>37350</v>
      </c>
      <c r="G1656" s="24" t="s">
        <v>312</v>
      </c>
      <c r="H1656" t="s">
        <v>287</v>
      </c>
      <c r="I1656" t="s">
        <v>339</v>
      </c>
      <c r="J1656" t="s">
        <v>330</v>
      </c>
      <c r="K1656" t="s">
        <v>346</v>
      </c>
    </row>
    <row r="1657" spans="1:11" x14ac:dyDescent="0.2">
      <c r="A1657">
        <v>9</v>
      </c>
      <c r="B1657" s="21">
        <v>46041</v>
      </c>
      <c r="C1657" t="s">
        <v>352</v>
      </c>
      <c r="D1657">
        <v>16</v>
      </c>
      <c r="E1657" t="s">
        <v>353</v>
      </c>
      <c r="F1657" s="21">
        <v>37350</v>
      </c>
      <c r="G1657" s="24" t="s">
        <v>312</v>
      </c>
      <c r="H1657" t="s">
        <v>283</v>
      </c>
      <c r="I1657" t="s">
        <v>341</v>
      </c>
      <c r="J1657" t="s">
        <v>330</v>
      </c>
      <c r="K1657" t="s">
        <v>335</v>
      </c>
    </row>
    <row r="1658" spans="1:11" x14ac:dyDescent="0.2">
      <c r="A1658">
        <v>9</v>
      </c>
      <c r="B1658" s="21">
        <v>46041</v>
      </c>
      <c r="C1658" t="s">
        <v>352</v>
      </c>
      <c r="D1658">
        <v>16</v>
      </c>
      <c r="E1658" t="s">
        <v>353</v>
      </c>
      <c r="F1658" s="21">
        <v>37350</v>
      </c>
      <c r="G1658" s="24" t="s">
        <v>312</v>
      </c>
      <c r="H1658" t="s">
        <v>283</v>
      </c>
      <c r="I1658" t="s">
        <v>341</v>
      </c>
      <c r="J1658" t="s">
        <v>330</v>
      </c>
      <c r="K1658" t="s">
        <v>335</v>
      </c>
    </row>
    <row r="1659" spans="1:11" x14ac:dyDescent="0.2">
      <c r="A1659">
        <v>9</v>
      </c>
      <c r="B1659" s="21">
        <v>46041</v>
      </c>
      <c r="C1659" t="s">
        <v>352</v>
      </c>
      <c r="D1659">
        <v>16</v>
      </c>
      <c r="E1659" t="s">
        <v>353</v>
      </c>
      <c r="F1659" s="21">
        <v>37350</v>
      </c>
      <c r="G1659" s="24" t="s">
        <v>312</v>
      </c>
      <c r="H1659" t="s">
        <v>278</v>
      </c>
      <c r="I1659" t="s">
        <v>329</v>
      </c>
      <c r="J1659" t="s">
        <v>330</v>
      </c>
      <c r="K1659" t="s">
        <v>342</v>
      </c>
    </row>
    <row r="1660" spans="1:11" x14ac:dyDescent="0.2">
      <c r="A1660">
        <v>9</v>
      </c>
      <c r="B1660" s="21">
        <v>46041</v>
      </c>
      <c r="C1660" t="s">
        <v>352</v>
      </c>
      <c r="D1660">
        <v>16</v>
      </c>
      <c r="E1660" t="s">
        <v>353</v>
      </c>
      <c r="F1660" s="21">
        <v>37350</v>
      </c>
      <c r="G1660" s="24" t="s">
        <v>312</v>
      </c>
      <c r="H1660" t="s">
        <v>292</v>
      </c>
      <c r="I1660" t="s">
        <v>329</v>
      </c>
      <c r="J1660" t="s">
        <v>332</v>
      </c>
      <c r="K1660" t="s">
        <v>331</v>
      </c>
    </row>
    <row r="1661" spans="1:11" x14ac:dyDescent="0.2">
      <c r="A1661">
        <v>9</v>
      </c>
      <c r="B1661" s="21">
        <v>46041</v>
      </c>
      <c r="C1661" t="s">
        <v>352</v>
      </c>
      <c r="D1661">
        <v>16</v>
      </c>
      <c r="E1661" t="s">
        <v>353</v>
      </c>
      <c r="F1661" s="21">
        <v>37350</v>
      </c>
      <c r="G1661" s="24" t="s">
        <v>312</v>
      </c>
      <c r="H1661" t="s">
        <v>296</v>
      </c>
      <c r="I1661" t="s">
        <v>344</v>
      </c>
      <c r="J1661" t="s">
        <v>330</v>
      </c>
      <c r="K1661" t="s">
        <v>343</v>
      </c>
    </row>
    <row r="1662" spans="1:11" x14ac:dyDescent="0.2">
      <c r="A1662">
        <v>9</v>
      </c>
      <c r="B1662" s="21">
        <v>46041</v>
      </c>
      <c r="C1662" t="s">
        <v>352</v>
      </c>
      <c r="D1662">
        <v>16</v>
      </c>
      <c r="E1662" t="s">
        <v>353</v>
      </c>
      <c r="F1662" s="21">
        <v>37350</v>
      </c>
      <c r="G1662" s="24" t="s">
        <v>312</v>
      </c>
      <c r="H1662" t="s">
        <v>295</v>
      </c>
      <c r="I1662" t="s">
        <v>334</v>
      </c>
      <c r="J1662" t="s">
        <v>330</v>
      </c>
      <c r="K1662" t="s">
        <v>338</v>
      </c>
    </row>
    <row r="1663" spans="1:11" x14ac:dyDescent="0.2">
      <c r="A1663">
        <v>9</v>
      </c>
      <c r="B1663" s="21">
        <v>46041</v>
      </c>
      <c r="C1663" t="s">
        <v>352</v>
      </c>
      <c r="D1663">
        <v>16</v>
      </c>
      <c r="E1663" t="s">
        <v>353</v>
      </c>
      <c r="F1663" s="21">
        <v>37350</v>
      </c>
      <c r="G1663" s="24" t="s">
        <v>312</v>
      </c>
      <c r="H1663" t="s">
        <v>282</v>
      </c>
      <c r="I1663" t="s">
        <v>334</v>
      </c>
      <c r="J1663" t="s">
        <v>330</v>
      </c>
      <c r="K1663" t="s">
        <v>338</v>
      </c>
    </row>
    <row r="1664" spans="1:11" x14ac:dyDescent="0.2">
      <c r="A1664">
        <v>9</v>
      </c>
      <c r="B1664" s="21">
        <v>46041</v>
      </c>
      <c r="C1664" t="s">
        <v>352</v>
      </c>
      <c r="D1664">
        <v>16</v>
      </c>
      <c r="E1664" t="s">
        <v>353</v>
      </c>
      <c r="F1664" s="21">
        <v>37350</v>
      </c>
      <c r="G1664" s="24" t="s">
        <v>312</v>
      </c>
      <c r="H1664" t="s">
        <v>278</v>
      </c>
      <c r="I1664" t="s">
        <v>334</v>
      </c>
      <c r="J1664" t="s">
        <v>330</v>
      </c>
      <c r="K1664" t="s">
        <v>342</v>
      </c>
    </row>
    <row r="1665" spans="1:13" x14ac:dyDescent="0.2">
      <c r="A1665">
        <v>9</v>
      </c>
      <c r="B1665" s="21">
        <v>46041</v>
      </c>
      <c r="C1665" t="s">
        <v>352</v>
      </c>
      <c r="D1665">
        <v>16</v>
      </c>
      <c r="E1665" t="s">
        <v>353</v>
      </c>
      <c r="F1665" s="21">
        <v>37350</v>
      </c>
      <c r="G1665" s="24" t="s">
        <v>312</v>
      </c>
      <c r="H1665" t="s">
        <v>290</v>
      </c>
      <c r="I1665" t="s">
        <v>347</v>
      </c>
      <c r="J1665" t="s">
        <v>330</v>
      </c>
      <c r="K1665" t="s">
        <v>342</v>
      </c>
    </row>
    <row r="1666" spans="1:13" x14ac:dyDescent="0.2">
      <c r="A1666">
        <v>9</v>
      </c>
      <c r="B1666" s="21">
        <v>46041</v>
      </c>
      <c r="C1666" t="s">
        <v>352</v>
      </c>
      <c r="D1666">
        <v>16</v>
      </c>
      <c r="E1666" t="s">
        <v>353</v>
      </c>
      <c r="F1666" s="21">
        <v>37350</v>
      </c>
      <c r="G1666" s="24" t="s">
        <v>312</v>
      </c>
      <c r="H1666" t="s">
        <v>296</v>
      </c>
      <c r="I1666" t="s">
        <v>329</v>
      </c>
      <c r="J1666" t="s">
        <v>332</v>
      </c>
      <c r="K1666" t="s">
        <v>331</v>
      </c>
    </row>
    <row r="1667" spans="1:13" x14ac:dyDescent="0.2">
      <c r="A1667">
        <v>9</v>
      </c>
      <c r="B1667" s="21">
        <v>46041</v>
      </c>
      <c r="C1667" t="s">
        <v>352</v>
      </c>
      <c r="D1667">
        <v>16</v>
      </c>
      <c r="E1667" t="s">
        <v>353</v>
      </c>
      <c r="F1667" s="21">
        <v>37350</v>
      </c>
      <c r="G1667" s="24" t="s">
        <v>312</v>
      </c>
      <c r="H1667" t="s">
        <v>278</v>
      </c>
      <c r="I1667" t="s">
        <v>334</v>
      </c>
      <c r="J1667" t="s">
        <v>330</v>
      </c>
      <c r="K1667" t="s">
        <v>342</v>
      </c>
    </row>
    <row r="1668" spans="1:13" x14ac:dyDescent="0.2">
      <c r="A1668">
        <v>9</v>
      </c>
      <c r="B1668" s="21">
        <v>46041</v>
      </c>
      <c r="C1668" t="s">
        <v>352</v>
      </c>
      <c r="D1668">
        <v>16</v>
      </c>
      <c r="E1668" t="s">
        <v>353</v>
      </c>
      <c r="F1668" s="21">
        <v>37350</v>
      </c>
      <c r="G1668" s="24" t="s">
        <v>312</v>
      </c>
      <c r="H1668" t="s">
        <v>283</v>
      </c>
      <c r="I1668" t="s">
        <v>334</v>
      </c>
      <c r="J1668" t="s">
        <v>330</v>
      </c>
      <c r="K1668" t="s">
        <v>342</v>
      </c>
    </row>
    <row r="1669" spans="1:13" x14ac:dyDescent="0.2">
      <c r="A1669">
        <v>9</v>
      </c>
      <c r="B1669" s="21">
        <v>46041</v>
      </c>
      <c r="C1669" t="s">
        <v>352</v>
      </c>
      <c r="D1669">
        <v>16</v>
      </c>
      <c r="E1669" t="s">
        <v>353</v>
      </c>
      <c r="F1669" s="21">
        <v>37350</v>
      </c>
      <c r="G1669" s="24" t="s">
        <v>312</v>
      </c>
      <c r="H1669" t="s">
        <v>282</v>
      </c>
      <c r="I1669" t="s">
        <v>334</v>
      </c>
      <c r="J1669" t="s">
        <v>330</v>
      </c>
      <c r="K1669" t="s">
        <v>342</v>
      </c>
    </row>
    <row r="1670" spans="1:13" x14ac:dyDescent="0.2">
      <c r="A1670">
        <v>9</v>
      </c>
      <c r="B1670" s="21">
        <v>46041</v>
      </c>
      <c r="C1670" t="s">
        <v>352</v>
      </c>
      <c r="D1670">
        <v>16</v>
      </c>
      <c r="E1670" t="s">
        <v>353</v>
      </c>
      <c r="F1670" s="21">
        <v>37350</v>
      </c>
      <c r="G1670" s="24" t="s">
        <v>312</v>
      </c>
      <c r="H1670" t="s">
        <v>278</v>
      </c>
      <c r="I1670" t="s">
        <v>334</v>
      </c>
      <c r="J1670" t="s">
        <v>330</v>
      </c>
      <c r="K1670" t="s">
        <v>342</v>
      </c>
    </row>
    <row r="1671" spans="1:13" x14ac:dyDescent="0.2">
      <c r="A1671">
        <v>9</v>
      </c>
      <c r="B1671" s="21">
        <v>46041</v>
      </c>
      <c r="C1671" t="s">
        <v>352</v>
      </c>
      <c r="D1671">
        <v>16</v>
      </c>
      <c r="E1671" t="s">
        <v>353</v>
      </c>
      <c r="F1671" s="21">
        <v>37350</v>
      </c>
      <c r="G1671" s="24" t="s">
        <v>312</v>
      </c>
      <c r="H1671" t="s">
        <v>292</v>
      </c>
      <c r="I1671" t="s">
        <v>349</v>
      </c>
      <c r="J1671" t="s">
        <v>330</v>
      </c>
      <c r="K1671" t="s">
        <v>331</v>
      </c>
    </row>
    <row r="1672" spans="1:13" x14ac:dyDescent="0.2">
      <c r="A1672">
        <v>9</v>
      </c>
      <c r="B1672" s="21">
        <v>46041</v>
      </c>
      <c r="C1672" t="s">
        <v>352</v>
      </c>
      <c r="D1672">
        <v>16</v>
      </c>
      <c r="E1672" t="s">
        <v>353</v>
      </c>
      <c r="F1672" s="21">
        <v>37350</v>
      </c>
      <c r="G1672" s="24" t="s">
        <v>312</v>
      </c>
      <c r="H1672" t="s">
        <v>285</v>
      </c>
      <c r="I1672" t="s">
        <v>350</v>
      </c>
      <c r="K1672" t="s">
        <v>333</v>
      </c>
    </row>
    <row r="1673" spans="1:13" x14ac:dyDescent="0.2">
      <c r="A1673">
        <v>9</v>
      </c>
      <c r="B1673" s="21">
        <v>46041</v>
      </c>
      <c r="C1673" t="s">
        <v>352</v>
      </c>
      <c r="D1673">
        <v>16</v>
      </c>
      <c r="E1673" t="s">
        <v>353</v>
      </c>
      <c r="F1673" s="21">
        <v>37350</v>
      </c>
      <c r="G1673" s="24" t="s">
        <v>312</v>
      </c>
      <c r="H1673" t="s">
        <v>296</v>
      </c>
      <c r="I1673" t="s">
        <v>355</v>
      </c>
      <c r="J1673" t="s">
        <v>330</v>
      </c>
      <c r="K1673" t="s">
        <v>331</v>
      </c>
    </row>
    <row r="1674" spans="1:13" x14ac:dyDescent="0.2">
      <c r="A1674">
        <v>9</v>
      </c>
      <c r="B1674" s="21">
        <v>46041</v>
      </c>
      <c r="C1674" t="s">
        <v>352</v>
      </c>
      <c r="D1674">
        <v>16</v>
      </c>
      <c r="E1674" t="s">
        <v>353</v>
      </c>
      <c r="F1674" s="21">
        <v>37350</v>
      </c>
      <c r="G1674" s="24" t="s">
        <v>312</v>
      </c>
      <c r="H1674" t="s">
        <v>295</v>
      </c>
      <c r="I1674" t="s">
        <v>355</v>
      </c>
      <c r="J1674" t="s">
        <v>330</v>
      </c>
      <c r="K1674" t="s">
        <v>338</v>
      </c>
    </row>
    <row r="1675" spans="1:13" x14ac:dyDescent="0.2">
      <c r="A1675">
        <v>9</v>
      </c>
      <c r="B1675" s="21">
        <v>46041</v>
      </c>
      <c r="C1675" t="s">
        <v>352</v>
      </c>
      <c r="D1675">
        <v>16</v>
      </c>
      <c r="E1675" t="s">
        <v>353</v>
      </c>
      <c r="F1675" s="21">
        <v>37350</v>
      </c>
      <c r="G1675" s="24" t="s">
        <v>312</v>
      </c>
      <c r="H1675" t="s">
        <v>292</v>
      </c>
      <c r="I1675" t="s">
        <v>334</v>
      </c>
      <c r="J1675" t="s">
        <v>330</v>
      </c>
      <c r="K1675" t="s">
        <v>331</v>
      </c>
    </row>
    <row r="1676" spans="1:13" x14ac:dyDescent="0.2">
      <c r="A1676">
        <v>9</v>
      </c>
      <c r="B1676" s="21">
        <v>46041</v>
      </c>
      <c r="C1676" t="s">
        <v>352</v>
      </c>
      <c r="D1676">
        <v>16</v>
      </c>
      <c r="E1676" t="s">
        <v>353</v>
      </c>
      <c r="F1676" s="21">
        <v>37350</v>
      </c>
      <c r="G1676" s="24" t="s">
        <v>312</v>
      </c>
      <c r="H1676" t="s">
        <v>296</v>
      </c>
      <c r="I1676" t="s">
        <v>355</v>
      </c>
      <c r="J1676" t="s">
        <v>330</v>
      </c>
      <c r="K1676" t="s">
        <v>331</v>
      </c>
    </row>
    <row r="1677" spans="1:13" x14ac:dyDescent="0.2">
      <c r="A1677">
        <v>9</v>
      </c>
      <c r="B1677" s="21">
        <v>46041</v>
      </c>
      <c r="C1677" t="s">
        <v>352</v>
      </c>
      <c r="D1677">
        <v>16</v>
      </c>
      <c r="E1677" t="s">
        <v>353</v>
      </c>
      <c r="F1677" s="21">
        <v>37350</v>
      </c>
      <c r="G1677" s="24" t="s">
        <v>312</v>
      </c>
      <c r="H1677" t="s">
        <v>285</v>
      </c>
      <c r="I1677" t="s">
        <v>329</v>
      </c>
      <c r="J1677" t="s">
        <v>330</v>
      </c>
      <c r="K1677" t="s">
        <v>338</v>
      </c>
    </row>
    <row r="1678" spans="1:13" x14ac:dyDescent="0.2">
      <c r="A1678">
        <v>9</v>
      </c>
      <c r="B1678" s="21">
        <v>46041</v>
      </c>
      <c r="C1678" t="s">
        <v>352</v>
      </c>
      <c r="D1678">
        <v>16</v>
      </c>
      <c r="E1678" t="s">
        <v>353</v>
      </c>
      <c r="F1678" s="21">
        <v>37350</v>
      </c>
      <c r="G1678" s="24" t="s">
        <v>312</v>
      </c>
      <c r="H1678" t="s">
        <v>292</v>
      </c>
      <c r="I1678" t="s">
        <v>329</v>
      </c>
      <c r="J1678" t="s">
        <v>330</v>
      </c>
      <c r="K1678" t="s">
        <v>331</v>
      </c>
      <c r="M1678" t="s">
        <v>357</v>
      </c>
    </row>
    <row r="1679" spans="1:13" x14ac:dyDescent="0.2">
      <c r="A1679">
        <v>9</v>
      </c>
      <c r="B1679" s="21">
        <v>46041</v>
      </c>
      <c r="C1679" t="s">
        <v>352</v>
      </c>
      <c r="D1679">
        <v>16</v>
      </c>
      <c r="E1679" t="s">
        <v>353</v>
      </c>
      <c r="F1679" s="21">
        <v>37350</v>
      </c>
      <c r="G1679" s="24" t="s">
        <v>312</v>
      </c>
      <c r="H1679" t="s">
        <v>292</v>
      </c>
      <c r="I1679" t="s">
        <v>341</v>
      </c>
      <c r="J1679" t="s">
        <v>330</v>
      </c>
      <c r="K1679" t="s">
        <v>340</v>
      </c>
    </row>
    <row r="1680" spans="1:13" x14ac:dyDescent="0.2">
      <c r="A1680">
        <v>9</v>
      </c>
      <c r="B1680" s="21">
        <v>46041</v>
      </c>
      <c r="C1680" t="s">
        <v>352</v>
      </c>
      <c r="D1680">
        <v>16</v>
      </c>
      <c r="E1680" t="s">
        <v>353</v>
      </c>
      <c r="F1680" s="21">
        <v>37350</v>
      </c>
      <c r="G1680" s="24" t="s">
        <v>312</v>
      </c>
      <c r="H1680" t="s">
        <v>296</v>
      </c>
      <c r="I1680" t="s">
        <v>329</v>
      </c>
      <c r="J1680" t="s">
        <v>330</v>
      </c>
      <c r="K1680" t="s">
        <v>331</v>
      </c>
    </row>
    <row r="1681" spans="1:13" x14ac:dyDescent="0.2">
      <c r="A1681">
        <v>9</v>
      </c>
      <c r="B1681" s="21">
        <v>46041</v>
      </c>
      <c r="C1681" t="s">
        <v>352</v>
      </c>
      <c r="D1681">
        <v>16</v>
      </c>
      <c r="E1681" t="s">
        <v>353</v>
      </c>
      <c r="F1681" s="21">
        <v>37350</v>
      </c>
      <c r="G1681" s="24" t="s">
        <v>312</v>
      </c>
      <c r="H1681" t="s">
        <v>296</v>
      </c>
      <c r="I1681" t="s">
        <v>348</v>
      </c>
      <c r="K1681" t="s">
        <v>333</v>
      </c>
    </row>
    <row r="1682" spans="1:13" x14ac:dyDescent="0.2">
      <c r="A1682">
        <v>9</v>
      </c>
      <c r="B1682" s="21">
        <v>46041</v>
      </c>
      <c r="C1682" t="s">
        <v>352</v>
      </c>
      <c r="D1682">
        <v>16</v>
      </c>
      <c r="E1682" t="s">
        <v>353</v>
      </c>
      <c r="F1682" s="21">
        <v>37350</v>
      </c>
      <c r="G1682" s="24" t="s">
        <v>312</v>
      </c>
      <c r="H1682" t="s">
        <v>293</v>
      </c>
      <c r="I1682" t="s">
        <v>329</v>
      </c>
      <c r="J1682" t="s">
        <v>330</v>
      </c>
      <c r="K1682" t="s">
        <v>346</v>
      </c>
      <c r="M1682" t="s">
        <v>358</v>
      </c>
    </row>
    <row r="1683" spans="1:13" x14ac:dyDescent="0.2">
      <c r="A1683">
        <v>9</v>
      </c>
      <c r="B1683" s="21">
        <v>46041</v>
      </c>
      <c r="C1683" t="s">
        <v>352</v>
      </c>
      <c r="D1683">
        <v>16</v>
      </c>
      <c r="E1683" t="s">
        <v>353</v>
      </c>
      <c r="F1683" s="21">
        <v>37350</v>
      </c>
      <c r="G1683" s="24" t="s">
        <v>312</v>
      </c>
      <c r="H1683" t="s">
        <v>295</v>
      </c>
      <c r="I1683" t="s">
        <v>344</v>
      </c>
      <c r="J1683" t="s">
        <v>330</v>
      </c>
      <c r="K1683" t="s">
        <v>343</v>
      </c>
    </row>
    <row r="1684" spans="1:13" x14ac:dyDescent="0.2">
      <c r="A1684">
        <v>9</v>
      </c>
      <c r="B1684" s="21">
        <v>46041</v>
      </c>
      <c r="C1684" t="s">
        <v>352</v>
      </c>
      <c r="D1684">
        <v>16</v>
      </c>
      <c r="E1684" t="s">
        <v>353</v>
      </c>
      <c r="F1684" s="21">
        <v>37350</v>
      </c>
      <c r="G1684" s="24" t="s">
        <v>312</v>
      </c>
      <c r="H1684" t="s">
        <v>285</v>
      </c>
      <c r="I1684" t="s">
        <v>339</v>
      </c>
      <c r="J1684" t="s">
        <v>330</v>
      </c>
      <c r="K1684" t="s">
        <v>340</v>
      </c>
    </row>
    <row r="1685" spans="1:13" x14ac:dyDescent="0.2">
      <c r="A1685">
        <v>9</v>
      </c>
      <c r="B1685" s="21">
        <v>46041</v>
      </c>
      <c r="C1685" t="s">
        <v>352</v>
      </c>
      <c r="D1685">
        <v>16</v>
      </c>
      <c r="E1685" t="s">
        <v>353</v>
      </c>
      <c r="F1685" s="21">
        <v>37350</v>
      </c>
      <c r="G1685" s="24" t="s">
        <v>312</v>
      </c>
      <c r="H1685" t="s">
        <v>295</v>
      </c>
      <c r="I1685" t="s">
        <v>329</v>
      </c>
      <c r="J1685" t="s">
        <v>330</v>
      </c>
      <c r="K1685" t="s">
        <v>338</v>
      </c>
      <c r="M1685" t="s">
        <v>357</v>
      </c>
    </row>
    <row r="1686" spans="1:13" x14ac:dyDescent="0.2">
      <c r="A1686">
        <v>9</v>
      </c>
      <c r="B1686" s="21">
        <v>46041</v>
      </c>
      <c r="C1686" t="s">
        <v>352</v>
      </c>
      <c r="D1686">
        <v>16</v>
      </c>
      <c r="E1686" t="s">
        <v>353</v>
      </c>
      <c r="F1686" s="21">
        <v>37350</v>
      </c>
      <c r="G1686" s="24" t="s">
        <v>312</v>
      </c>
      <c r="H1686" t="s">
        <v>292</v>
      </c>
      <c r="I1686" t="s">
        <v>341</v>
      </c>
      <c r="J1686" t="s">
        <v>330</v>
      </c>
      <c r="K1686" t="s">
        <v>338</v>
      </c>
    </row>
    <row r="1687" spans="1:13" x14ac:dyDescent="0.2">
      <c r="A1687">
        <v>9</v>
      </c>
      <c r="B1687" s="21">
        <v>46041</v>
      </c>
      <c r="C1687" t="s">
        <v>352</v>
      </c>
      <c r="D1687">
        <v>16</v>
      </c>
      <c r="E1687" t="s">
        <v>353</v>
      </c>
      <c r="F1687" s="21">
        <v>37350</v>
      </c>
      <c r="G1687" s="24" t="s">
        <v>312</v>
      </c>
      <c r="H1687" t="s">
        <v>287</v>
      </c>
      <c r="I1687" t="s">
        <v>329</v>
      </c>
      <c r="J1687" t="s">
        <v>332</v>
      </c>
      <c r="K1687" t="s">
        <v>338</v>
      </c>
    </row>
    <row r="1688" spans="1:13" x14ac:dyDescent="0.2">
      <c r="A1688">
        <v>9</v>
      </c>
      <c r="B1688" s="21">
        <v>46041</v>
      </c>
      <c r="C1688" t="s">
        <v>352</v>
      </c>
      <c r="D1688">
        <v>16</v>
      </c>
      <c r="E1688" t="s">
        <v>353</v>
      </c>
      <c r="F1688" s="21">
        <v>37350</v>
      </c>
      <c r="G1688" s="24" t="s">
        <v>312</v>
      </c>
      <c r="H1688" t="s">
        <v>285</v>
      </c>
      <c r="I1688" t="s">
        <v>329</v>
      </c>
      <c r="J1688" t="s">
        <v>332</v>
      </c>
      <c r="K1688" t="s">
        <v>340</v>
      </c>
    </row>
    <row r="1689" spans="1:13" x14ac:dyDescent="0.2">
      <c r="A1689">
        <v>9</v>
      </c>
      <c r="B1689" s="21">
        <v>46041</v>
      </c>
      <c r="C1689" t="s">
        <v>352</v>
      </c>
      <c r="D1689">
        <v>16</v>
      </c>
      <c r="E1689" t="s">
        <v>353</v>
      </c>
      <c r="F1689" s="21">
        <v>37350</v>
      </c>
      <c r="G1689" s="24" t="s">
        <v>313</v>
      </c>
      <c r="H1689" t="s">
        <v>293</v>
      </c>
      <c r="I1689" t="s">
        <v>329</v>
      </c>
      <c r="J1689" t="s">
        <v>330</v>
      </c>
      <c r="K1689" t="s">
        <v>331</v>
      </c>
    </row>
    <row r="1690" spans="1:13" x14ac:dyDescent="0.2">
      <c r="A1690">
        <v>9</v>
      </c>
      <c r="B1690" s="21">
        <v>46041</v>
      </c>
      <c r="C1690" t="s">
        <v>352</v>
      </c>
      <c r="D1690">
        <v>16</v>
      </c>
      <c r="E1690" t="s">
        <v>353</v>
      </c>
      <c r="F1690" s="21">
        <v>37350</v>
      </c>
      <c r="G1690" s="24" t="s">
        <v>313</v>
      </c>
      <c r="H1690" t="s">
        <v>293</v>
      </c>
      <c r="I1690" t="s">
        <v>344</v>
      </c>
      <c r="J1690" t="s">
        <v>330</v>
      </c>
      <c r="K1690" t="s">
        <v>331</v>
      </c>
    </row>
    <row r="1691" spans="1:13" x14ac:dyDescent="0.2">
      <c r="A1691">
        <v>9</v>
      </c>
      <c r="B1691" s="21">
        <v>46041</v>
      </c>
      <c r="C1691" t="s">
        <v>352</v>
      </c>
      <c r="D1691">
        <v>16</v>
      </c>
      <c r="E1691" t="s">
        <v>353</v>
      </c>
      <c r="F1691" s="21">
        <v>37350</v>
      </c>
      <c r="G1691" s="24" t="s">
        <v>313</v>
      </c>
      <c r="H1691" t="s">
        <v>290</v>
      </c>
      <c r="I1691" t="s">
        <v>341</v>
      </c>
      <c r="K1691" t="s">
        <v>331</v>
      </c>
    </row>
    <row r="1692" spans="1:13" x14ac:dyDescent="0.2">
      <c r="A1692">
        <v>9</v>
      </c>
      <c r="B1692" s="21">
        <v>46041</v>
      </c>
      <c r="C1692" t="s">
        <v>352</v>
      </c>
      <c r="D1692">
        <v>16</v>
      </c>
      <c r="E1692" t="s">
        <v>353</v>
      </c>
      <c r="F1692" s="21">
        <v>37350</v>
      </c>
      <c r="G1692" s="24" t="s">
        <v>313</v>
      </c>
      <c r="H1692" t="s">
        <v>287</v>
      </c>
      <c r="I1692" t="s">
        <v>329</v>
      </c>
      <c r="M1692" t="s">
        <v>357</v>
      </c>
    </row>
    <row r="1693" spans="1:13" x14ac:dyDescent="0.2">
      <c r="A1693">
        <v>9</v>
      </c>
      <c r="B1693" s="21">
        <v>46041</v>
      </c>
      <c r="C1693" t="s">
        <v>352</v>
      </c>
      <c r="D1693">
        <v>16</v>
      </c>
      <c r="E1693" t="s">
        <v>353</v>
      </c>
      <c r="F1693" s="21">
        <v>37350</v>
      </c>
      <c r="G1693" s="24" t="s">
        <v>313</v>
      </c>
      <c r="H1693" t="s">
        <v>287</v>
      </c>
      <c r="I1693" t="s">
        <v>261</v>
      </c>
      <c r="J1693" t="s">
        <v>330</v>
      </c>
      <c r="K1693" t="s">
        <v>340</v>
      </c>
    </row>
    <row r="1694" spans="1:13" x14ac:dyDescent="0.2">
      <c r="A1694">
        <v>9</v>
      </c>
      <c r="B1694" s="21">
        <v>46041</v>
      </c>
      <c r="C1694" t="s">
        <v>352</v>
      </c>
      <c r="D1694">
        <v>16</v>
      </c>
      <c r="E1694" t="s">
        <v>353</v>
      </c>
      <c r="F1694" s="21">
        <v>37350</v>
      </c>
      <c r="G1694" s="24" t="s">
        <v>313</v>
      </c>
      <c r="H1694" t="s">
        <v>283</v>
      </c>
      <c r="I1694" t="s">
        <v>261</v>
      </c>
      <c r="J1694" t="s">
        <v>330</v>
      </c>
      <c r="K1694" t="s">
        <v>346</v>
      </c>
    </row>
    <row r="1695" spans="1:13" x14ac:dyDescent="0.2">
      <c r="A1695">
        <v>9</v>
      </c>
      <c r="B1695" s="21">
        <v>46041</v>
      </c>
      <c r="C1695" t="s">
        <v>352</v>
      </c>
      <c r="D1695">
        <v>16</v>
      </c>
      <c r="E1695" t="s">
        <v>353</v>
      </c>
      <c r="F1695" s="21">
        <v>37350</v>
      </c>
      <c r="G1695" s="24" t="s">
        <v>313</v>
      </c>
      <c r="H1695" t="s">
        <v>293</v>
      </c>
      <c r="I1695" t="s">
        <v>337</v>
      </c>
      <c r="J1695" t="s">
        <v>332</v>
      </c>
    </row>
    <row r="1696" spans="1:13" x14ac:dyDescent="0.2">
      <c r="A1696">
        <v>9</v>
      </c>
      <c r="B1696" s="21">
        <v>46041</v>
      </c>
      <c r="C1696" t="s">
        <v>352</v>
      </c>
      <c r="D1696">
        <v>16</v>
      </c>
      <c r="E1696" t="s">
        <v>353</v>
      </c>
      <c r="F1696" s="21">
        <v>37350</v>
      </c>
      <c r="G1696" s="24" t="s">
        <v>313</v>
      </c>
      <c r="H1696" t="s">
        <v>293</v>
      </c>
      <c r="I1696" t="s">
        <v>329</v>
      </c>
      <c r="J1696" t="s">
        <v>332</v>
      </c>
    </row>
    <row r="1697" spans="1:13" x14ac:dyDescent="0.2">
      <c r="A1697">
        <v>9</v>
      </c>
      <c r="B1697" s="21">
        <v>46041</v>
      </c>
      <c r="C1697" t="s">
        <v>352</v>
      </c>
      <c r="D1697">
        <v>16</v>
      </c>
      <c r="E1697" t="s">
        <v>353</v>
      </c>
      <c r="F1697" s="21">
        <v>37350</v>
      </c>
      <c r="G1697" s="24" t="s">
        <v>313</v>
      </c>
      <c r="H1697" t="s">
        <v>295</v>
      </c>
    </row>
    <row r="1698" spans="1:13" x14ac:dyDescent="0.2">
      <c r="A1698">
        <v>9</v>
      </c>
      <c r="B1698" s="21">
        <v>46041</v>
      </c>
      <c r="C1698" t="s">
        <v>352</v>
      </c>
      <c r="D1698">
        <v>16</v>
      </c>
      <c r="E1698" t="s">
        <v>353</v>
      </c>
      <c r="F1698" s="21">
        <v>37350</v>
      </c>
      <c r="G1698" s="24" t="s">
        <v>313</v>
      </c>
      <c r="H1698" t="s">
        <v>278</v>
      </c>
      <c r="I1698" t="s">
        <v>339</v>
      </c>
    </row>
    <row r="1699" spans="1:13" x14ac:dyDescent="0.2">
      <c r="A1699">
        <v>9</v>
      </c>
      <c r="B1699" s="21">
        <v>46041</v>
      </c>
      <c r="C1699" t="s">
        <v>352</v>
      </c>
      <c r="D1699">
        <v>16</v>
      </c>
      <c r="E1699" t="s">
        <v>353</v>
      </c>
      <c r="F1699" s="21">
        <v>37350</v>
      </c>
      <c r="G1699" s="24" t="s">
        <v>313</v>
      </c>
      <c r="H1699" t="s">
        <v>285</v>
      </c>
      <c r="I1699" t="s">
        <v>329</v>
      </c>
      <c r="J1699" t="s">
        <v>332</v>
      </c>
    </row>
    <row r="1700" spans="1:13" x14ac:dyDescent="0.2">
      <c r="A1700">
        <v>9</v>
      </c>
      <c r="B1700" s="21">
        <v>46041</v>
      </c>
      <c r="C1700" t="s">
        <v>352</v>
      </c>
      <c r="D1700">
        <v>16</v>
      </c>
      <c r="E1700" t="s">
        <v>353</v>
      </c>
      <c r="F1700" s="21">
        <v>37350</v>
      </c>
      <c r="G1700" s="24" t="s">
        <v>313</v>
      </c>
      <c r="H1700" t="s">
        <v>296</v>
      </c>
      <c r="I1700" t="s">
        <v>337</v>
      </c>
      <c r="J1700" t="s">
        <v>330</v>
      </c>
      <c r="K1700" t="s">
        <v>343</v>
      </c>
    </row>
    <row r="1701" spans="1:13" x14ac:dyDescent="0.2">
      <c r="A1701">
        <v>9</v>
      </c>
      <c r="B1701" s="21">
        <v>46041</v>
      </c>
      <c r="C1701" t="s">
        <v>352</v>
      </c>
      <c r="D1701">
        <v>16</v>
      </c>
      <c r="E1701" t="s">
        <v>353</v>
      </c>
      <c r="F1701" s="21">
        <v>37350</v>
      </c>
      <c r="G1701" s="24" t="s">
        <v>313</v>
      </c>
      <c r="H1701" t="s">
        <v>296</v>
      </c>
      <c r="I1701" t="s">
        <v>355</v>
      </c>
      <c r="J1701" t="s">
        <v>330</v>
      </c>
      <c r="K1701" t="s">
        <v>340</v>
      </c>
    </row>
    <row r="1702" spans="1:13" x14ac:dyDescent="0.2">
      <c r="A1702">
        <v>9</v>
      </c>
      <c r="B1702" s="21">
        <v>46041</v>
      </c>
      <c r="C1702" t="s">
        <v>352</v>
      </c>
      <c r="D1702">
        <v>16</v>
      </c>
      <c r="E1702" t="s">
        <v>353</v>
      </c>
      <c r="F1702" s="21">
        <v>37350</v>
      </c>
      <c r="G1702" s="24" t="s">
        <v>313</v>
      </c>
      <c r="H1702" t="s">
        <v>285</v>
      </c>
      <c r="I1702" t="s">
        <v>347</v>
      </c>
    </row>
    <row r="1703" spans="1:13" x14ac:dyDescent="0.2">
      <c r="A1703">
        <v>9</v>
      </c>
      <c r="B1703" s="21">
        <v>46041</v>
      </c>
      <c r="C1703" t="s">
        <v>352</v>
      </c>
      <c r="D1703">
        <v>16</v>
      </c>
      <c r="E1703" t="s">
        <v>353</v>
      </c>
      <c r="F1703" s="21">
        <v>37350</v>
      </c>
      <c r="G1703" s="24" t="s">
        <v>313</v>
      </c>
      <c r="H1703" t="s">
        <v>278</v>
      </c>
      <c r="I1703" t="s">
        <v>329</v>
      </c>
      <c r="K1703" t="s">
        <v>331</v>
      </c>
      <c r="M1703" t="s">
        <v>357</v>
      </c>
    </row>
    <row r="1704" spans="1:13" x14ac:dyDescent="0.2">
      <c r="A1704">
        <v>9</v>
      </c>
      <c r="B1704" s="21">
        <v>46041</v>
      </c>
      <c r="C1704" t="s">
        <v>352</v>
      </c>
      <c r="D1704">
        <v>16</v>
      </c>
      <c r="E1704" t="s">
        <v>353</v>
      </c>
      <c r="F1704" s="21">
        <v>37350</v>
      </c>
      <c r="G1704" s="24" t="s">
        <v>313</v>
      </c>
      <c r="H1704" t="s">
        <v>287</v>
      </c>
      <c r="I1704" t="s">
        <v>337</v>
      </c>
      <c r="J1704" t="s">
        <v>330</v>
      </c>
    </row>
    <row r="1705" spans="1:13" x14ac:dyDescent="0.2">
      <c r="A1705">
        <v>9</v>
      </c>
      <c r="B1705" s="21">
        <v>46041</v>
      </c>
      <c r="C1705" t="s">
        <v>352</v>
      </c>
      <c r="D1705">
        <v>16</v>
      </c>
      <c r="E1705" t="s">
        <v>353</v>
      </c>
      <c r="F1705" s="21">
        <v>37350</v>
      </c>
      <c r="G1705" s="24" t="s">
        <v>313</v>
      </c>
      <c r="H1705" t="s">
        <v>287</v>
      </c>
      <c r="I1705" t="s">
        <v>329</v>
      </c>
      <c r="J1705" t="s">
        <v>332</v>
      </c>
      <c r="K1705" t="s">
        <v>346</v>
      </c>
    </row>
    <row r="1706" spans="1:13" x14ac:dyDescent="0.2">
      <c r="A1706">
        <v>9</v>
      </c>
      <c r="B1706" s="21">
        <v>46041</v>
      </c>
      <c r="C1706" t="s">
        <v>352</v>
      </c>
      <c r="D1706">
        <v>16</v>
      </c>
      <c r="E1706" t="s">
        <v>353</v>
      </c>
      <c r="F1706" s="21">
        <v>37350</v>
      </c>
      <c r="G1706" s="24" t="s">
        <v>313</v>
      </c>
      <c r="H1706" t="s">
        <v>278</v>
      </c>
      <c r="I1706" t="s">
        <v>334</v>
      </c>
      <c r="J1706" t="s">
        <v>330</v>
      </c>
    </row>
    <row r="1707" spans="1:13" x14ac:dyDescent="0.2">
      <c r="A1707">
        <v>9</v>
      </c>
      <c r="B1707" s="21">
        <v>46041</v>
      </c>
      <c r="C1707" t="s">
        <v>352</v>
      </c>
      <c r="D1707">
        <v>16</v>
      </c>
      <c r="E1707" t="s">
        <v>353</v>
      </c>
      <c r="F1707" s="21">
        <v>37350</v>
      </c>
      <c r="G1707" s="24" t="s">
        <v>313</v>
      </c>
      <c r="H1707" t="s">
        <v>283</v>
      </c>
      <c r="I1707" t="s">
        <v>334</v>
      </c>
      <c r="J1707" t="s">
        <v>330</v>
      </c>
    </row>
    <row r="1708" spans="1:13" x14ac:dyDescent="0.2">
      <c r="A1708">
        <v>9</v>
      </c>
      <c r="B1708" s="21">
        <v>46041</v>
      </c>
      <c r="C1708" t="s">
        <v>352</v>
      </c>
      <c r="D1708">
        <v>16</v>
      </c>
      <c r="E1708" t="s">
        <v>353</v>
      </c>
      <c r="F1708" s="21">
        <v>37350</v>
      </c>
      <c r="G1708" s="24" t="s">
        <v>313</v>
      </c>
      <c r="H1708" t="s">
        <v>287</v>
      </c>
      <c r="I1708" t="s">
        <v>329</v>
      </c>
      <c r="J1708" t="s">
        <v>332</v>
      </c>
      <c r="K1708" t="s">
        <v>346</v>
      </c>
    </row>
    <row r="1709" spans="1:13" x14ac:dyDescent="0.2">
      <c r="A1709">
        <v>9</v>
      </c>
      <c r="B1709" s="21">
        <v>46041</v>
      </c>
      <c r="C1709" t="s">
        <v>352</v>
      </c>
      <c r="D1709">
        <v>16</v>
      </c>
      <c r="E1709" t="s">
        <v>353</v>
      </c>
      <c r="F1709" s="21">
        <v>37350</v>
      </c>
      <c r="G1709" s="24" t="s">
        <v>313</v>
      </c>
      <c r="H1709" t="s">
        <v>282</v>
      </c>
      <c r="I1709" t="s">
        <v>344</v>
      </c>
      <c r="K1709" t="s">
        <v>342</v>
      </c>
    </row>
    <row r="1710" spans="1:13" x14ac:dyDescent="0.2">
      <c r="A1710">
        <v>9</v>
      </c>
      <c r="B1710" s="21">
        <v>46041</v>
      </c>
      <c r="C1710" t="s">
        <v>352</v>
      </c>
      <c r="D1710">
        <v>16</v>
      </c>
      <c r="E1710" t="s">
        <v>353</v>
      </c>
      <c r="F1710" s="21">
        <v>37350</v>
      </c>
      <c r="G1710" s="24" t="s">
        <v>313</v>
      </c>
      <c r="H1710" t="s">
        <v>296</v>
      </c>
      <c r="I1710" t="s">
        <v>329</v>
      </c>
      <c r="J1710" t="s">
        <v>330</v>
      </c>
    </row>
    <row r="1711" spans="1:13" x14ac:dyDescent="0.2">
      <c r="A1711">
        <v>9</v>
      </c>
      <c r="B1711" s="21">
        <v>46041</v>
      </c>
      <c r="C1711" t="s">
        <v>352</v>
      </c>
      <c r="D1711">
        <v>16</v>
      </c>
      <c r="E1711" t="s">
        <v>353</v>
      </c>
      <c r="F1711" s="21">
        <v>37350</v>
      </c>
      <c r="G1711" s="24" t="s">
        <v>313</v>
      </c>
      <c r="H1711" t="s">
        <v>282</v>
      </c>
      <c r="I1711" t="s">
        <v>337</v>
      </c>
      <c r="J1711" t="s">
        <v>332</v>
      </c>
    </row>
    <row r="1712" spans="1:13" x14ac:dyDescent="0.2">
      <c r="A1712">
        <v>9</v>
      </c>
      <c r="B1712" s="21">
        <v>46041</v>
      </c>
      <c r="C1712" t="s">
        <v>352</v>
      </c>
      <c r="D1712">
        <v>16</v>
      </c>
      <c r="E1712" t="s">
        <v>353</v>
      </c>
      <c r="F1712" s="21">
        <v>37350</v>
      </c>
      <c r="G1712" s="24" t="s">
        <v>313</v>
      </c>
      <c r="H1712" t="s">
        <v>290</v>
      </c>
      <c r="I1712" t="s">
        <v>355</v>
      </c>
    </row>
    <row r="1713" spans="1:13" x14ac:dyDescent="0.2">
      <c r="A1713">
        <v>9</v>
      </c>
      <c r="B1713" s="21">
        <v>46041</v>
      </c>
      <c r="C1713" t="s">
        <v>352</v>
      </c>
      <c r="D1713">
        <v>16</v>
      </c>
      <c r="E1713" t="s">
        <v>353</v>
      </c>
      <c r="F1713" s="21">
        <v>37350</v>
      </c>
      <c r="G1713" s="24" t="s">
        <v>313</v>
      </c>
      <c r="H1713" t="s">
        <v>290</v>
      </c>
      <c r="I1713" t="s">
        <v>344</v>
      </c>
    </row>
    <row r="1714" spans="1:13" x14ac:dyDescent="0.2">
      <c r="A1714">
        <v>9</v>
      </c>
      <c r="B1714" s="21">
        <v>46041</v>
      </c>
      <c r="C1714" t="s">
        <v>352</v>
      </c>
      <c r="D1714">
        <v>16</v>
      </c>
      <c r="E1714" t="s">
        <v>353</v>
      </c>
      <c r="F1714" s="21">
        <v>37350</v>
      </c>
      <c r="G1714" s="24" t="s">
        <v>313</v>
      </c>
      <c r="H1714" t="s">
        <v>292</v>
      </c>
      <c r="I1714" t="s">
        <v>355</v>
      </c>
      <c r="J1714" t="s">
        <v>330</v>
      </c>
      <c r="K1714" t="s">
        <v>331</v>
      </c>
    </row>
    <row r="1715" spans="1:13" x14ac:dyDescent="0.2">
      <c r="A1715">
        <v>9</v>
      </c>
      <c r="B1715" s="21">
        <v>46041</v>
      </c>
      <c r="C1715" t="s">
        <v>352</v>
      </c>
      <c r="D1715">
        <v>16</v>
      </c>
      <c r="E1715" t="s">
        <v>353</v>
      </c>
      <c r="F1715" s="21">
        <v>37350</v>
      </c>
      <c r="G1715" s="24" t="s">
        <v>313</v>
      </c>
      <c r="H1715" t="s">
        <v>293</v>
      </c>
      <c r="I1715" t="s">
        <v>337</v>
      </c>
      <c r="J1715" t="s">
        <v>332</v>
      </c>
      <c r="K1715" t="s">
        <v>331</v>
      </c>
    </row>
    <row r="1716" spans="1:13" x14ac:dyDescent="0.2">
      <c r="A1716">
        <v>9</v>
      </c>
      <c r="B1716" s="21">
        <v>46041</v>
      </c>
      <c r="C1716" t="s">
        <v>352</v>
      </c>
      <c r="D1716">
        <v>16</v>
      </c>
      <c r="E1716" t="s">
        <v>353</v>
      </c>
      <c r="F1716" s="21">
        <v>37350</v>
      </c>
      <c r="G1716" s="24" t="s">
        <v>313</v>
      </c>
      <c r="H1716" t="s">
        <v>292</v>
      </c>
      <c r="I1716" t="s">
        <v>334</v>
      </c>
      <c r="J1716" t="s">
        <v>332</v>
      </c>
      <c r="K1716" t="s">
        <v>331</v>
      </c>
    </row>
    <row r="1717" spans="1:13" x14ac:dyDescent="0.2">
      <c r="A1717">
        <v>9</v>
      </c>
      <c r="B1717" s="21">
        <v>46041</v>
      </c>
      <c r="C1717" t="s">
        <v>352</v>
      </c>
      <c r="D1717">
        <v>16</v>
      </c>
      <c r="E1717" t="s">
        <v>353</v>
      </c>
      <c r="F1717" s="21">
        <v>37350</v>
      </c>
      <c r="G1717" s="24" t="s">
        <v>313</v>
      </c>
      <c r="H1717" t="s">
        <v>287</v>
      </c>
      <c r="I1717" t="s">
        <v>359</v>
      </c>
      <c r="J1717" t="s">
        <v>330</v>
      </c>
      <c r="K1717" t="s">
        <v>331</v>
      </c>
    </row>
    <row r="1718" spans="1:13" x14ac:dyDescent="0.2">
      <c r="A1718">
        <v>9</v>
      </c>
      <c r="B1718" s="21">
        <v>46041</v>
      </c>
      <c r="C1718" t="s">
        <v>352</v>
      </c>
      <c r="D1718">
        <v>16</v>
      </c>
      <c r="E1718" t="s">
        <v>353</v>
      </c>
      <c r="F1718" s="21">
        <v>37350</v>
      </c>
      <c r="G1718" s="24" t="s">
        <v>313</v>
      </c>
      <c r="H1718" t="s">
        <v>292</v>
      </c>
      <c r="I1718" t="s">
        <v>337</v>
      </c>
      <c r="J1718" t="s">
        <v>332</v>
      </c>
      <c r="K1718" t="s">
        <v>331</v>
      </c>
    </row>
    <row r="1719" spans="1:13" x14ac:dyDescent="0.2">
      <c r="A1719">
        <v>9</v>
      </c>
      <c r="B1719" s="21">
        <v>46041</v>
      </c>
      <c r="C1719" t="s">
        <v>352</v>
      </c>
      <c r="D1719">
        <v>16</v>
      </c>
      <c r="E1719" t="s">
        <v>353</v>
      </c>
      <c r="F1719" s="21">
        <v>37350</v>
      </c>
      <c r="G1719" s="24" t="s">
        <v>313</v>
      </c>
      <c r="H1719" t="s">
        <v>278</v>
      </c>
      <c r="I1719" t="s">
        <v>347</v>
      </c>
      <c r="K1719" t="s">
        <v>335</v>
      </c>
    </row>
    <row r="1720" spans="1:13" x14ac:dyDescent="0.2">
      <c r="A1720">
        <v>9</v>
      </c>
      <c r="B1720" s="21">
        <v>46041</v>
      </c>
      <c r="C1720" t="s">
        <v>352</v>
      </c>
      <c r="D1720">
        <v>16</v>
      </c>
      <c r="E1720" t="s">
        <v>353</v>
      </c>
      <c r="F1720" s="21">
        <v>37350</v>
      </c>
      <c r="G1720" s="24" t="s">
        <v>313</v>
      </c>
      <c r="H1720" t="s">
        <v>292</v>
      </c>
      <c r="I1720" t="s">
        <v>344</v>
      </c>
      <c r="J1720" t="s">
        <v>330</v>
      </c>
      <c r="K1720" t="s">
        <v>331</v>
      </c>
    </row>
    <row r="1721" spans="1:13" x14ac:dyDescent="0.2">
      <c r="A1721">
        <v>9</v>
      </c>
      <c r="B1721" s="21">
        <v>46041</v>
      </c>
      <c r="C1721" t="s">
        <v>352</v>
      </c>
      <c r="D1721">
        <v>16</v>
      </c>
      <c r="E1721" t="s">
        <v>353</v>
      </c>
      <c r="F1721" s="21">
        <v>37350</v>
      </c>
      <c r="G1721" s="24" t="s">
        <v>313</v>
      </c>
      <c r="H1721" t="s">
        <v>296</v>
      </c>
      <c r="I1721" t="s">
        <v>334</v>
      </c>
    </row>
    <row r="1722" spans="1:13" x14ac:dyDescent="0.2">
      <c r="A1722">
        <v>9</v>
      </c>
      <c r="B1722" s="21">
        <v>46041</v>
      </c>
      <c r="C1722" t="s">
        <v>352</v>
      </c>
      <c r="D1722">
        <v>16</v>
      </c>
      <c r="E1722" t="s">
        <v>353</v>
      </c>
      <c r="F1722" s="21">
        <v>37350</v>
      </c>
      <c r="G1722" s="24" t="s">
        <v>313</v>
      </c>
      <c r="H1722" t="s">
        <v>282</v>
      </c>
      <c r="I1722" t="s">
        <v>329</v>
      </c>
      <c r="K1722" t="s">
        <v>342</v>
      </c>
    </row>
    <row r="1723" spans="1:13" x14ac:dyDescent="0.2">
      <c r="A1723">
        <v>9</v>
      </c>
      <c r="B1723" s="21">
        <v>46041</v>
      </c>
      <c r="C1723" t="s">
        <v>352</v>
      </c>
      <c r="D1723">
        <v>16</v>
      </c>
      <c r="E1723" t="s">
        <v>353</v>
      </c>
      <c r="F1723" s="21">
        <v>37350</v>
      </c>
      <c r="G1723" s="24" t="s">
        <v>313</v>
      </c>
      <c r="H1723" t="s">
        <v>287</v>
      </c>
      <c r="I1723" t="s">
        <v>337</v>
      </c>
      <c r="J1723" t="s">
        <v>330</v>
      </c>
      <c r="K1723" t="s">
        <v>331</v>
      </c>
    </row>
    <row r="1724" spans="1:13" x14ac:dyDescent="0.2">
      <c r="A1724">
        <v>9</v>
      </c>
      <c r="B1724" s="21">
        <v>46041</v>
      </c>
      <c r="C1724" t="s">
        <v>352</v>
      </c>
      <c r="D1724">
        <v>16</v>
      </c>
      <c r="E1724" t="s">
        <v>353</v>
      </c>
      <c r="F1724" s="21">
        <v>37350</v>
      </c>
      <c r="G1724" s="24" t="s">
        <v>313</v>
      </c>
      <c r="H1724" t="s">
        <v>287</v>
      </c>
      <c r="I1724" t="s">
        <v>334</v>
      </c>
    </row>
    <row r="1725" spans="1:13" x14ac:dyDescent="0.2">
      <c r="A1725">
        <v>9</v>
      </c>
      <c r="B1725" s="21">
        <v>46041</v>
      </c>
      <c r="C1725" t="s">
        <v>352</v>
      </c>
      <c r="D1725">
        <v>16</v>
      </c>
      <c r="E1725" t="s">
        <v>353</v>
      </c>
      <c r="F1725" s="21">
        <v>37350</v>
      </c>
      <c r="G1725" s="24" t="s">
        <v>313</v>
      </c>
      <c r="H1725" t="s">
        <v>283</v>
      </c>
      <c r="I1725" t="s">
        <v>341</v>
      </c>
      <c r="J1725" t="s">
        <v>330</v>
      </c>
      <c r="K1725" t="s">
        <v>336</v>
      </c>
    </row>
    <row r="1726" spans="1:13" x14ac:dyDescent="0.2">
      <c r="A1726">
        <v>9</v>
      </c>
      <c r="B1726" s="21">
        <v>46041</v>
      </c>
      <c r="C1726" t="s">
        <v>352</v>
      </c>
      <c r="D1726">
        <v>16</v>
      </c>
      <c r="E1726" t="s">
        <v>353</v>
      </c>
      <c r="F1726" s="21">
        <v>37350</v>
      </c>
      <c r="G1726" s="24" t="s">
        <v>313</v>
      </c>
      <c r="H1726" t="s">
        <v>292</v>
      </c>
      <c r="I1726" t="s">
        <v>344</v>
      </c>
      <c r="K1726" t="s">
        <v>331</v>
      </c>
    </row>
    <row r="1727" spans="1:13" x14ac:dyDescent="0.2">
      <c r="A1727">
        <v>9</v>
      </c>
      <c r="B1727" s="21">
        <v>46041</v>
      </c>
      <c r="C1727" t="s">
        <v>352</v>
      </c>
      <c r="D1727">
        <v>16</v>
      </c>
      <c r="E1727" t="s">
        <v>353</v>
      </c>
      <c r="F1727" s="21">
        <v>37350</v>
      </c>
      <c r="G1727" s="24" t="s">
        <v>314</v>
      </c>
      <c r="H1727" t="s">
        <v>296</v>
      </c>
      <c r="I1727" t="s">
        <v>329</v>
      </c>
      <c r="J1727" t="s">
        <v>330</v>
      </c>
      <c r="K1727" t="s">
        <v>331</v>
      </c>
      <c r="M1727" t="s">
        <v>357</v>
      </c>
    </row>
    <row r="1728" spans="1:13" x14ac:dyDescent="0.2">
      <c r="A1728">
        <v>9</v>
      </c>
      <c r="B1728" s="21">
        <v>46041</v>
      </c>
      <c r="C1728" t="s">
        <v>352</v>
      </c>
      <c r="D1728">
        <v>16</v>
      </c>
      <c r="E1728" t="s">
        <v>353</v>
      </c>
      <c r="F1728" s="21">
        <v>37350</v>
      </c>
      <c r="G1728" s="24" t="s">
        <v>314</v>
      </c>
      <c r="H1728" t="s">
        <v>292</v>
      </c>
    </row>
    <row r="1729" spans="1:13" x14ac:dyDescent="0.2">
      <c r="A1729">
        <v>9</v>
      </c>
      <c r="B1729" s="21">
        <v>46041</v>
      </c>
      <c r="C1729" t="s">
        <v>352</v>
      </c>
      <c r="D1729">
        <v>16</v>
      </c>
      <c r="E1729" t="s">
        <v>353</v>
      </c>
      <c r="F1729" s="21">
        <v>37350</v>
      </c>
      <c r="G1729" s="24" t="s">
        <v>314</v>
      </c>
    </row>
    <row r="1730" spans="1:13" x14ac:dyDescent="0.2">
      <c r="A1730">
        <v>9</v>
      </c>
      <c r="B1730" s="21">
        <v>46041</v>
      </c>
      <c r="C1730" t="s">
        <v>352</v>
      </c>
      <c r="D1730">
        <v>16</v>
      </c>
      <c r="E1730" t="s">
        <v>353</v>
      </c>
      <c r="F1730" s="21">
        <v>37350</v>
      </c>
      <c r="G1730" s="24" t="s">
        <v>314</v>
      </c>
      <c r="H1730" t="s">
        <v>283</v>
      </c>
      <c r="I1730" t="s">
        <v>329</v>
      </c>
      <c r="J1730" t="s">
        <v>332</v>
      </c>
    </row>
    <row r="1731" spans="1:13" x14ac:dyDescent="0.2">
      <c r="A1731">
        <v>9</v>
      </c>
      <c r="B1731" s="21">
        <v>46041</v>
      </c>
      <c r="C1731" t="s">
        <v>352</v>
      </c>
      <c r="D1731">
        <v>16</v>
      </c>
      <c r="E1731" t="s">
        <v>353</v>
      </c>
      <c r="F1731" s="21">
        <v>37350</v>
      </c>
      <c r="G1731" s="24" t="s">
        <v>314</v>
      </c>
      <c r="H1731" t="s">
        <v>282</v>
      </c>
      <c r="I1731" t="s">
        <v>329</v>
      </c>
      <c r="M1731" t="s">
        <v>357</v>
      </c>
    </row>
    <row r="1732" spans="1:13" x14ac:dyDescent="0.2">
      <c r="A1732">
        <v>9</v>
      </c>
      <c r="B1732" s="21">
        <v>46041</v>
      </c>
      <c r="C1732" t="s">
        <v>352</v>
      </c>
      <c r="D1732">
        <v>16</v>
      </c>
      <c r="E1732" t="s">
        <v>353</v>
      </c>
      <c r="F1732" s="21">
        <v>37350</v>
      </c>
      <c r="G1732" s="24" t="s">
        <v>314</v>
      </c>
      <c r="H1732" t="s">
        <v>295</v>
      </c>
      <c r="I1732" t="s">
        <v>348</v>
      </c>
      <c r="K1732" t="s">
        <v>333</v>
      </c>
    </row>
    <row r="1733" spans="1:13" x14ac:dyDescent="0.2">
      <c r="A1733">
        <v>9</v>
      </c>
      <c r="B1733" s="21">
        <v>46041</v>
      </c>
      <c r="C1733" t="s">
        <v>352</v>
      </c>
      <c r="D1733">
        <v>16</v>
      </c>
      <c r="E1733" t="s">
        <v>353</v>
      </c>
      <c r="F1733" s="21">
        <v>37350</v>
      </c>
      <c r="G1733" s="24" t="s">
        <v>314</v>
      </c>
      <c r="H1733" t="s">
        <v>282</v>
      </c>
      <c r="I1733" t="s">
        <v>329</v>
      </c>
      <c r="J1733" t="s">
        <v>332</v>
      </c>
      <c r="K1733" t="s">
        <v>331</v>
      </c>
    </row>
    <row r="1734" spans="1:13" x14ac:dyDescent="0.2">
      <c r="A1734">
        <v>9</v>
      </c>
      <c r="B1734" s="21">
        <v>46041</v>
      </c>
      <c r="C1734" t="s">
        <v>352</v>
      </c>
      <c r="D1734">
        <v>16</v>
      </c>
      <c r="E1734" t="s">
        <v>353</v>
      </c>
      <c r="F1734" s="21">
        <v>37350</v>
      </c>
      <c r="G1734" s="24" t="s">
        <v>314</v>
      </c>
      <c r="H1734" t="s">
        <v>279</v>
      </c>
      <c r="I1734" t="s">
        <v>348</v>
      </c>
      <c r="J1734" t="s">
        <v>80</v>
      </c>
      <c r="K1734" t="s">
        <v>333</v>
      </c>
    </row>
    <row r="1735" spans="1:13" x14ac:dyDescent="0.2">
      <c r="A1735">
        <v>9</v>
      </c>
      <c r="B1735" s="21">
        <v>46041</v>
      </c>
      <c r="C1735" t="s">
        <v>352</v>
      </c>
      <c r="D1735">
        <v>16</v>
      </c>
      <c r="E1735" t="s">
        <v>353</v>
      </c>
      <c r="F1735" s="21">
        <v>37350</v>
      </c>
      <c r="G1735" s="24" t="s">
        <v>314</v>
      </c>
      <c r="H1735" t="s">
        <v>296</v>
      </c>
      <c r="I1735" t="s">
        <v>339</v>
      </c>
      <c r="K1735" t="s">
        <v>343</v>
      </c>
    </row>
    <row r="1736" spans="1:13" x14ac:dyDescent="0.2">
      <c r="A1736">
        <v>9</v>
      </c>
      <c r="B1736" s="21">
        <v>46041</v>
      </c>
      <c r="C1736" t="s">
        <v>352</v>
      </c>
      <c r="D1736">
        <v>16</v>
      </c>
      <c r="E1736" t="s">
        <v>353</v>
      </c>
      <c r="F1736" s="21">
        <v>37350</v>
      </c>
      <c r="G1736" s="24" t="s">
        <v>314</v>
      </c>
      <c r="H1736" t="s">
        <v>282</v>
      </c>
      <c r="I1736" t="s">
        <v>355</v>
      </c>
      <c r="J1736" t="s">
        <v>330</v>
      </c>
      <c r="K1736" t="s">
        <v>331</v>
      </c>
    </row>
    <row r="1737" spans="1:13" x14ac:dyDescent="0.2">
      <c r="A1737">
        <v>9</v>
      </c>
      <c r="B1737" s="21">
        <v>46041</v>
      </c>
      <c r="C1737" t="s">
        <v>352</v>
      </c>
      <c r="D1737">
        <v>16</v>
      </c>
      <c r="E1737" t="s">
        <v>353</v>
      </c>
      <c r="F1737" s="21">
        <v>37350</v>
      </c>
      <c r="G1737" s="24" t="s">
        <v>314</v>
      </c>
      <c r="H1737" t="s">
        <v>280</v>
      </c>
      <c r="I1737" t="s">
        <v>329</v>
      </c>
      <c r="J1737" t="s">
        <v>330</v>
      </c>
      <c r="K1737" t="s">
        <v>331</v>
      </c>
    </row>
    <row r="1738" spans="1:13" x14ac:dyDescent="0.2">
      <c r="A1738">
        <v>9</v>
      </c>
      <c r="B1738" s="21">
        <v>46041</v>
      </c>
      <c r="C1738" t="s">
        <v>352</v>
      </c>
      <c r="D1738">
        <v>16</v>
      </c>
      <c r="E1738" t="s">
        <v>353</v>
      </c>
      <c r="F1738" s="21">
        <v>37350</v>
      </c>
      <c r="G1738" s="24" t="s">
        <v>314</v>
      </c>
      <c r="H1738" t="s">
        <v>293</v>
      </c>
      <c r="I1738" t="s">
        <v>329</v>
      </c>
      <c r="J1738" t="s">
        <v>330</v>
      </c>
      <c r="K1738" t="s">
        <v>331</v>
      </c>
    </row>
    <row r="1739" spans="1:13" x14ac:dyDescent="0.2">
      <c r="A1739">
        <v>9</v>
      </c>
      <c r="B1739" s="21">
        <v>46041</v>
      </c>
      <c r="C1739" t="s">
        <v>352</v>
      </c>
      <c r="D1739">
        <v>16</v>
      </c>
      <c r="E1739" t="s">
        <v>353</v>
      </c>
      <c r="F1739" s="21">
        <v>37350</v>
      </c>
      <c r="G1739" s="24" t="s">
        <v>314</v>
      </c>
      <c r="H1739" t="s">
        <v>290</v>
      </c>
      <c r="I1739" t="s">
        <v>355</v>
      </c>
      <c r="J1739" t="s">
        <v>332</v>
      </c>
      <c r="K1739" t="s">
        <v>342</v>
      </c>
    </row>
    <row r="1740" spans="1:13" x14ac:dyDescent="0.2">
      <c r="A1740">
        <v>9</v>
      </c>
      <c r="B1740" s="21">
        <v>46041</v>
      </c>
      <c r="C1740" t="s">
        <v>352</v>
      </c>
      <c r="D1740">
        <v>16</v>
      </c>
      <c r="E1740" t="s">
        <v>353</v>
      </c>
      <c r="F1740" s="21">
        <v>37350</v>
      </c>
      <c r="G1740" s="24" t="s">
        <v>314</v>
      </c>
      <c r="H1740" t="s">
        <v>280</v>
      </c>
      <c r="I1740" t="s">
        <v>329</v>
      </c>
      <c r="J1740" t="s">
        <v>330</v>
      </c>
      <c r="K1740" t="s">
        <v>331</v>
      </c>
    </row>
    <row r="1741" spans="1:13" x14ac:dyDescent="0.2">
      <c r="A1741">
        <v>9</v>
      </c>
      <c r="B1741" s="21">
        <v>46041</v>
      </c>
      <c r="C1741" t="s">
        <v>352</v>
      </c>
      <c r="D1741">
        <v>16</v>
      </c>
      <c r="E1741" t="s">
        <v>353</v>
      </c>
      <c r="F1741" s="21">
        <v>37350</v>
      </c>
      <c r="G1741" s="24" t="s">
        <v>314</v>
      </c>
      <c r="H1741" t="s">
        <v>282</v>
      </c>
      <c r="I1741" t="s">
        <v>337</v>
      </c>
      <c r="J1741" t="s">
        <v>332</v>
      </c>
      <c r="K1741" t="s">
        <v>331</v>
      </c>
    </row>
    <row r="1742" spans="1:13" x14ac:dyDescent="0.2">
      <c r="A1742">
        <v>9</v>
      </c>
      <c r="B1742" s="21">
        <v>46041</v>
      </c>
      <c r="C1742" t="s">
        <v>352</v>
      </c>
      <c r="D1742">
        <v>16</v>
      </c>
      <c r="E1742" t="s">
        <v>353</v>
      </c>
      <c r="F1742" s="21">
        <v>37350</v>
      </c>
      <c r="G1742" s="24" t="s">
        <v>314</v>
      </c>
      <c r="H1742" t="s">
        <v>292</v>
      </c>
      <c r="I1742" t="s">
        <v>337</v>
      </c>
      <c r="J1742" t="s">
        <v>330</v>
      </c>
      <c r="K1742" t="s">
        <v>343</v>
      </c>
    </row>
    <row r="1743" spans="1:13" x14ac:dyDescent="0.2">
      <c r="A1743">
        <v>9</v>
      </c>
      <c r="B1743" s="21">
        <v>46041</v>
      </c>
      <c r="C1743" t="s">
        <v>352</v>
      </c>
      <c r="D1743">
        <v>16</v>
      </c>
      <c r="E1743" t="s">
        <v>353</v>
      </c>
      <c r="F1743" s="21">
        <v>37350</v>
      </c>
      <c r="G1743" s="24" t="s">
        <v>314</v>
      </c>
      <c r="H1743" t="s">
        <v>296</v>
      </c>
      <c r="I1743" t="s">
        <v>329</v>
      </c>
      <c r="J1743" t="s">
        <v>332</v>
      </c>
      <c r="K1743" t="s">
        <v>343</v>
      </c>
    </row>
    <row r="1744" spans="1:13" x14ac:dyDescent="0.2">
      <c r="A1744">
        <v>9</v>
      </c>
      <c r="B1744" s="21">
        <v>46041</v>
      </c>
      <c r="C1744" t="s">
        <v>352</v>
      </c>
      <c r="D1744">
        <v>16</v>
      </c>
      <c r="E1744" t="s">
        <v>353</v>
      </c>
      <c r="F1744" s="21">
        <v>37350</v>
      </c>
      <c r="G1744" s="24" t="s">
        <v>314</v>
      </c>
      <c r="H1744" t="s">
        <v>292</v>
      </c>
      <c r="I1744" t="s">
        <v>329</v>
      </c>
      <c r="J1744" t="s">
        <v>330</v>
      </c>
      <c r="K1744" t="s">
        <v>333</v>
      </c>
    </row>
    <row r="1745" spans="1:13" x14ac:dyDescent="0.2">
      <c r="A1745">
        <v>9</v>
      </c>
      <c r="B1745" s="21">
        <v>46041</v>
      </c>
      <c r="C1745" t="s">
        <v>352</v>
      </c>
      <c r="D1745">
        <v>16</v>
      </c>
      <c r="E1745" t="s">
        <v>353</v>
      </c>
      <c r="F1745" s="21">
        <v>37350</v>
      </c>
      <c r="G1745" s="24" t="s">
        <v>314</v>
      </c>
      <c r="H1745" t="s">
        <v>279</v>
      </c>
      <c r="I1745" t="s">
        <v>329</v>
      </c>
      <c r="J1745" t="s">
        <v>330</v>
      </c>
      <c r="K1745" t="s">
        <v>333</v>
      </c>
    </row>
    <row r="1746" spans="1:13" x14ac:dyDescent="0.2">
      <c r="A1746">
        <v>9</v>
      </c>
      <c r="B1746" s="21">
        <v>46041</v>
      </c>
      <c r="C1746" t="s">
        <v>352</v>
      </c>
      <c r="D1746">
        <v>16</v>
      </c>
      <c r="E1746" t="s">
        <v>353</v>
      </c>
      <c r="F1746" s="21">
        <v>37350</v>
      </c>
      <c r="G1746" s="24" t="s">
        <v>314</v>
      </c>
      <c r="H1746" t="s">
        <v>293</v>
      </c>
      <c r="I1746" t="s">
        <v>355</v>
      </c>
      <c r="J1746" t="s">
        <v>330</v>
      </c>
      <c r="K1746" t="s">
        <v>331</v>
      </c>
    </row>
    <row r="1747" spans="1:13" x14ac:dyDescent="0.2">
      <c r="A1747">
        <v>9</v>
      </c>
      <c r="B1747" s="21">
        <v>46041</v>
      </c>
      <c r="C1747" t="s">
        <v>352</v>
      </c>
      <c r="D1747">
        <v>16</v>
      </c>
      <c r="E1747" t="s">
        <v>353</v>
      </c>
      <c r="F1747" s="21">
        <v>37350</v>
      </c>
      <c r="G1747" s="24" t="s">
        <v>314</v>
      </c>
      <c r="H1747" t="s">
        <v>283</v>
      </c>
      <c r="I1747" t="s">
        <v>355</v>
      </c>
      <c r="K1747" t="s">
        <v>336</v>
      </c>
    </row>
    <row r="1748" spans="1:13" x14ac:dyDescent="0.2">
      <c r="A1748">
        <v>9</v>
      </c>
      <c r="B1748" s="21">
        <v>46041</v>
      </c>
      <c r="C1748" t="s">
        <v>352</v>
      </c>
      <c r="D1748">
        <v>16</v>
      </c>
      <c r="E1748" t="s">
        <v>353</v>
      </c>
      <c r="F1748" s="21">
        <v>37350</v>
      </c>
      <c r="G1748" s="24" t="s">
        <v>314</v>
      </c>
      <c r="H1748" t="s">
        <v>278</v>
      </c>
      <c r="I1748" t="s">
        <v>329</v>
      </c>
      <c r="J1748" t="s">
        <v>330</v>
      </c>
      <c r="K1748" t="s">
        <v>331</v>
      </c>
      <c r="M1748" t="s">
        <v>357</v>
      </c>
    </row>
    <row r="1749" spans="1:13" x14ac:dyDescent="0.2">
      <c r="A1749">
        <v>9</v>
      </c>
      <c r="B1749" s="21">
        <v>46041</v>
      </c>
      <c r="C1749" t="s">
        <v>352</v>
      </c>
      <c r="D1749">
        <v>16</v>
      </c>
      <c r="E1749" t="s">
        <v>353</v>
      </c>
      <c r="F1749" s="21">
        <v>37350</v>
      </c>
      <c r="G1749" s="24" t="s">
        <v>314</v>
      </c>
      <c r="H1749" t="s">
        <v>292</v>
      </c>
      <c r="I1749" t="s">
        <v>329</v>
      </c>
      <c r="J1749" t="s">
        <v>330</v>
      </c>
      <c r="K1749" t="s">
        <v>331</v>
      </c>
    </row>
    <row r="1750" spans="1:13" x14ac:dyDescent="0.2">
      <c r="A1750">
        <v>9</v>
      </c>
      <c r="B1750" s="21">
        <v>46041</v>
      </c>
      <c r="C1750" t="s">
        <v>352</v>
      </c>
      <c r="D1750">
        <v>16</v>
      </c>
      <c r="E1750" t="s">
        <v>353</v>
      </c>
      <c r="F1750" s="21">
        <v>37350</v>
      </c>
      <c r="G1750" s="24" t="s">
        <v>314</v>
      </c>
      <c r="H1750" t="s">
        <v>280</v>
      </c>
      <c r="I1750" t="s">
        <v>337</v>
      </c>
      <c r="J1750" t="s">
        <v>332</v>
      </c>
    </row>
    <row r="1751" spans="1:13" x14ac:dyDescent="0.2">
      <c r="A1751">
        <v>9</v>
      </c>
      <c r="B1751" s="21">
        <v>46041</v>
      </c>
      <c r="C1751" t="s">
        <v>352</v>
      </c>
      <c r="D1751">
        <v>16</v>
      </c>
      <c r="E1751" t="s">
        <v>353</v>
      </c>
      <c r="F1751" s="21">
        <v>37350</v>
      </c>
      <c r="G1751" s="24" t="s">
        <v>314</v>
      </c>
      <c r="H1751" t="s">
        <v>296</v>
      </c>
      <c r="I1751" t="s">
        <v>351</v>
      </c>
      <c r="J1751" t="s">
        <v>330</v>
      </c>
      <c r="K1751" t="s">
        <v>340</v>
      </c>
    </row>
    <row r="1752" spans="1:13" x14ac:dyDescent="0.2">
      <c r="A1752">
        <v>9</v>
      </c>
      <c r="B1752" s="21">
        <v>46041</v>
      </c>
      <c r="C1752" t="s">
        <v>352</v>
      </c>
      <c r="D1752">
        <v>16</v>
      </c>
      <c r="E1752" t="s">
        <v>353</v>
      </c>
      <c r="F1752" s="21">
        <v>37350</v>
      </c>
      <c r="G1752" s="24" t="s">
        <v>314</v>
      </c>
      <c r="H1752" t="s">
        <v>292</v>
      </c>
      <c r="I1752" t="s">
        <v>329</v>
      </c>
      <c r="J1752" t="s">
        <v>330</v>
      </c>
      <c r="K1752" t="s">
        <v>342</v>
      </c>
    </row>
    <row r="1753" spans="1:13" x14ac:dyDescent="0.2">
      <c r="A1753">
        <v>9</v>
      </c>
      <c r="B1753" s="21">
        <v>46041</v>
      </c>
      <c r="C1753" t="s">
        <v>352</v>
      </c>
      <c r="D1753">
        <v>16</v>
      </c>
      <c r="E1753" t="s">
        <v>353</v>
      </c>
      <c r="F1753" s="21">
        <v>37350</v>
      </c>
      <c r="G1753" s="24" t="s">
        <v>314</v>
      </c>
      <c r="H1753" t="s">
        <v>296</v>
      </c>
      <c r="I1753" t="s">
        <v>329</v>
      </c>
      <c r="J1753" t="s">
        <v>332</v>
      </c>
      <c r="K1753" t="s">
        <v>343</v>
      </c>
      <c r="M1753" t="s">
        <v>357</v>
      </c>
    </row>
    <row r="1754" spans="1:13" x14ac:dyDescent="0.2">
      <c r="A1754">
        <v>9</v>
      </c>
      <c r="B1754" s="21">
        <v>46041</v>
      </c>
      <c r="C1754" t="s">
        <v>352</v>
      </c>
      <c r="D1754">
        <v>16</v>
      </c>
      <c r="E1754" t="s">
        <v>353</v>
      </c>
      <c r="F1754" s="21">
        <v>37350</v>
      </c>
      <c r="G1754" s="24" t="s">
        <v>314</v>
      </c>
      <c r="H1754" t="s">
        <v>292</v>
      </c>
      <c r="I1754" t="s">
        <v>337</v>
      </c>
      <c r="J1754" t="s">
        <v>330</v>
      </c>
      <c r="K1754" t="s">
        <v>343</v>
      </c>
    </row>
    <row r="1755" spans="1:13" x14ac:dyDescent="0.2">
      <c r="A1755">
        <v>9</v>
      </c>
      <c r="B1755" s="21">
        <v>46041</v>
      </c>
      <c r="C1755" t="s">
        <v>352</v>
      </c>
      <c r="D1755">
        <v>16</v>
      </c>
      <c r="E1755" t="s">
        <v>353</v>
      </c>
      <c r="F1755" s="21">
        <v>37350</v>
      </c>
      <c r="G1755" s="24" t="s">
        <v>314</v>
      </c>
      <c r="H1755" t="s">
        <v>292</v>
      </c>
      <c r="I1755" t="s">
        <v>344</v>
      </c>
      <c r="J1755" t="s">
        <v>330</v>
      </c>
      <c r="K1755" t="s">
        <v>343</v>
      </c>
    </row>
    <row r="1756" spans="1:13" x14ac:dyDescent="0.2">
      <c r="A1756">
        <v>9</v>
      </c>
      <c r="B1756" s="21">
        <v>46041</v>
      </c>
      <c r="C1756" t="s">
        <v>352</v>
      </c>
      <c r="D1756">
        <v>16</v>
      </c>
      <c r="E1756" t="s">
        <v>353</v>
      </c>
      <c r="F1756" s="21">
        <v>37350</v>
      </c>
      <c r="G1756" s="24" t="s">
        <v>314</v>
      </c>
      <c r="H1756" t="s">
        <v>279</v>
      </c>
      <c r="I1756" t="s">
        <v>359</v>
      </c>
      <c r="J1756" t="s">
        <v>330</v>
      </c>
      <c r="K1756" t="s">
        <v>346</v>
      </c>
    </row>
    <row r="1757" spans="1:13" x14ac:dyDescent="0.2">
      <c r="A1757">
        <v>9</v>
      </c>
      <c r="B1757" s="21">
        <v>46041</v>
      </c>
      <c r="C1757" t="s">
        <v>352</v>
      </c>
      <c r="D1757">
        <v>16</v>
      </c>
      <c r="E1757" t="s">
        <v>353</v>
      </c>
      <c r="F1757" s="21">
        <v>37350</v>
      </c>
      <c r="G1757" s="24" t="s">
        <v>314</v>
      </c>
      <c r="H1757" t="s">
        <v>290</v>
      </c>
      <c r="I1757" t="s">
        <v>355</v>
      </c>
      <c r="J1757" t="s">
        <v>330</v>
      </c>
      <c r="K1757" t="s">
        <v>342</v>
      </c>
    </row>
    <row r="1758" spans="1:13" x14ac:dyDescent="0.2">
      <c r="A1758">
        <v>9</v>
      </c>
      <c r="B1758" s="21">
        <v>46041</v>
      </c>
      <c r="C1758" t="s">
        <v>352</v>
      </c>
      <c r="D1758">
        <v>16</v>
      </c>
      <c r="E1758" t="s">
        <v>353</v>
      </c>
      <c r="F1758" s="21">
        <v>37350</v>
      </c>
      <c r="G1758" s="24" t="s">
        <v>276</v>
      </c>
      <c r="H1758" t="s">
        <v>283</v>
      </c>
      <c r="I1758" t="s">
        <v>341</v>
      </c>
      <c r="J1758" t="s">
        <v>330</v>
      </c>
      <c r="K1758" t="s">
        <v>335</v>
      </c>
    </row>
    <row r="1759" spans="1:13" x14ac:dyDescent="0.2">
      <c r="A1759">
        <v>9</v>
      </c>
      <c r="B1759" s="21">
        <v>46041</v>
      </c>
      <c r="C1759" t="s">
        <v>352</v>
      </c>
      <c r="D1759">
        <v>16</v>
      </c>
      <c r="E1759" t="s">
        <v>353</v>
      </c>
      <c r="F1759" s="21">
        <v>37350</v>
      </c>
      <c r="G1759" s="24" t="s">
        <v>276</v>
      </c>
      <c r="H1759" t="s">
        <v>292</v>
      </c>
      <c r="I1759" t="s">
        <v>329</v>
      </c>
      <c r="J1759" t="s">
        <v>330</v>
      </c>
      <c r="K1759" t="s">
        <v>331</v>
      </c>
    </row>
    <row r="1760" spans="1:13" x14ac:dyDescent="0.2">
      <c r="A1760">
        <v>9</v>
      </c>
      <c r="B1760" s="21">
        <v>46041</v>
      </c>
      <c r="C1760" t="s">
        <v>352</v>
      </c>
      <c r="D1760">
        <v>16</v>
      </c>
      <c r="E1760" t="s">
        <v>353</v>
      </c>
      <c r="F1760" s="21">
        <v>37350</v>
      </c>
      <c r="G1760" s="24" t="s">
        <v>276</v>
      </c>
      <c r="H1760" t="s">
        <v>293</v>
      </c>
      <c r="I1760" t="s">
        <v>337</v>
      </c>
      <c r="J1760" t="s">
        <v>332</v>
      </c>
      <c r="K1760" t="s">
        <v>331</v>
      </c>
    </row>
    <row r="1761" spans="1:13" x14ac:dyDescent="0.2">
      <c r="A1761">
        <v>9</v>
      </c>
      <c r="B1761" s="21">
        <v>46041</v>
      </c>
      <c r="C1761" t="s">
        <v>352</v>
      </c>
      <c r="D1761">
        <v>16</v>
      </c>
      <c r="E1761" t="s">
        <v>353</v>
      </c>
      <c r="F1761" s="21">
        <v>37350</v>
      </c>
      <c r="G1761" s="24" t="s">
        <v>276</v>
      </c>
      <c r="H1761" t="s">
        <v>296</v>
      </c>
      <c r="I1761" t="s">
        <v>329</v>
      </c>
      <c r="J1761" t="s">
        <v>330</v>
      </c>
      <c r="K1761" t="s">
        <v>331</v>
      </c>
    </row>
    <row r="1762" spans="1:13" x14ac:dyDescent="0.2">
      <c r="A1762">
        <v>9</v>
      </c>
      <c r="B1762" s="21">
        <v>46041</v>
      </c>
      <c r="C1762" t="s">
        <v>352</v>
      </c>
      <c r="D1762">
        <v>16</v>
      </c>
      <c r="E1762" t="s">
        <v>353</v>
      </c>
      <c r="F1762" s="21">
        <v>37350</v>
      </c>
      <c r="G1762" s="24" t="s">
        <v>276</v>
      </c>
      <c r="H1762" t="s">
        <v>296</v>
      </c>
      <c r="I1762" t="s">
        <v>344</v>
      </c>
      <c r="K1762" t="s">
        <v>331</v>
      </c>
    </row>
    <row r="1763" spans="1:13" x14ac:dyDescent="0.2">
      <c r="A1763">
        <v>9</v>
      </c>
      <c r="B1763" s="21">
        <v>46041</v>
      </c>
      <c r="C1763" t="s">
        <v>352</v>
      </c>
      <c r="D1763">
        <v>16</v>
      </c>
      <c r="E1763" t="s">
        <v>353</v>
      </c>
      <c r="F1763" s="21">
        <v>37350</v>
      </c>
      <c r="G1763" s="24" t="s">
        <v>276</v>
      </c>
      <c r="H1763" t="s">
        <v>306</v>
      </c>
      <c r="I1763" t="s">
        <v>329</v>
      </c>
      <c r="J1763" t="s">
        <v>332</v>
      </c>
      <c r="K1763" t="s">
        <v>333</v>
      </c>
    </row>
    <row r="1764" spans="1:13" x14ac:dyDescent="0.2">
      <c r="A1764">
        <v>9</v>
      </c>
      <c r="B1764" s="21">
        <v>46041</v>
      </c>
      <c r="C1764" t="s">
        <v>352</v>
      </c>
      <c r="D1764">
        <v>16</v>
      </c>
      <c r="E1764" t="s">
        <v>353</v>
      </c>
      <c r="F1764" s="21">
        <v>37350</v>
      </c>
      <c r="G1764" s="24" t="s">
        <v>276</v>
      </c>
      <c r="H1764" t="s">
        <v>290</v>
      </c>
      <c r="I1764" t="s">
        <v>337</v>
      </c>
      <c r="J1764" t="s">
        <v>330</v>
      </c>
    </row>
    <row r="1765" spans="1:13" x14ac:dyDescent="0.2">
      <c r="A1765">
        <v>9</v>
      </c>
      <c r="B1765" s="21">
        <v>46041</v>
      </c>
      <c r="C1765" t="s">
        <v>352</v>
      </c>
      <c r="D1765">
        <v>16</v>
      </c>
      <c r="E1765" t="s">
        <v>353</v>
      </c>
      <c r="F1765" s="21">
        <v>37350</v>
      </c>
      <c r="G1765" s="24" t="s">
        <v>276</v>
      </c>
      <c r="H1765" t="s">
        <v>290</v>
      </c>
      <c r="I1765" t="s">
        <v>329</v>
      </c>
      <c r="M1765" t="s">
        <v>357</v>
      </c>
    </row>
    <row r="1766" spans="1:13" x14ac:dyDescent="0.2">
      <c r="A1766">
        <v>9</v>
      </c>
      <c r="B1766" s="21">
        <v>46041</v>
      </c>
      <c r="C1766" t="s">
        <v>352</v>
      </c>
      <c r="D1766">
        <v>16</v>
      </c>
      <c r="E1766" t="s">
        <v>353</v>
      </c>
      <c r="F1766" s="21">
        <v>37350</v>
      </c>
      <c r="G1766" s="24" t="s">
        <v>276</v>
      </c>
      <c r="H1766" t="s">
        <v>292</v>
      </c>
      <c r="I1766" t="s">
        <v>337</v>
      </c>
      <c r="J1766" t="s">
        <v>330</v>
      </c>
    </row>
    <row r="1767" spans="1:13" x14ac:dyDescent="0.2">
      <c r="A1767">
        <v>9</v>
      </c>
      <c r="B1767" s="21">
        <v>46041</v>
      </c>
      <c r="C1767" t="s">
        <v>352</v>
      </c>
      <c r="D1767">
        <v>16</v>
      </c>
      <c r="E1767" t="s">
        <v>353</v>
      </c>
      <c r="F1767" s="21">
        <v>37350</v>
      </c>
      <c r="G1767" s="24" t="s">
        <v>276</v>
      </c>
      <c r="H1767" t="s">
        <v>292</v>
      </c>
      <c r="I1767" t="s">
        <v>347</v>
      </c>
    </row>
    <row r="1768" spans="1:13" x14ac:dyDescent="0.2">
      <c r="A1768">
        <v>9</v>
      </c>
      <c r="B1768" s="21">
        <v>46041</v>
      </c>
      <c r="C1768" t="s">
        <v>352</v>
      </c>
      <c r="D1768">
        <v>16</v>
      </c>
      <c r="E1768" t="s">
        <v>353</v>
      </c>
      <c r="F1768" s="21">
        <v>37350</v>
      </c>
      <c r="G1768" s="24" t="s">
        <v>276</v>
      </c>
      <c r="H1768" t="s">
        <v>306</v>
      </c>
      <c r="I1768" t="s">
        <v>329</v>
      </c>
      <c r="M1768" t="s">
        <v>357</v>
      </c>
    </row>
    <row r="1769" spans="1:13" x14ac:dyDescent="0.2">
      <c r="A1769">
        <v>9</v>
      </c>
      <c r="B1769" s="21">
        <v>46041</v>
      </c>
      <c r="C1769" t="s">
        <v>352</v>
      </c>
      <c r="D1769">
        <v>16</v>
      </c>
      <c r="E1769" t="s">
        <v>353</v>
      </c>
      <c r="F1769" s="21">
        <v>37350</v>
      </c>
      <c r="G1769" s="24" t="s">
        <v>276</v>
      </c>
      <c r="H1769" t="s">
        <v>306</v>
      </c>
      <c r="I1769" t="s">
        <v>329</v>
      </c>
      <c r="J1769" t="s">
        <v>330</v>
      </c>
      <c r="K1769" t="s">
        <v>346</v>
      </c>
    </row>
    <row r="1770" spans="1:13" x14ac:dyDescent="0.2">
      <c r="A1770">
        <v>9</v>
      </c>
      <c r="B1770" s="21">
        <v>46041</v>
      </c>
      <c r="C1770" t="s">
        <v>352</v>
      </c>
      <c r="D1770">
        <v>16</v>
      </c>
      <c r="E1770" t="s">
        <v>353</v>
      </c>
      <c r="F1770" s="21">
        <v>37350</v>
      </c>
      <c r="G1770" s="24" t="s">
        <v>276</v>
      </c>
      <c r="H1770" t="s">
        <v>292</v>
      </c>
      <c r="I1770" t="s">
        <v>329</v>
      </c>
      <c r="J1770" t="s">
        <v>330</v>
      </c>
      <c r="K1770" t="s">
        <v>331</v>
      </c>
    </row>
    <row r="1771" spans="1:13" x14ac:dyDescent="0.2">
      <c r="A1771">
        <v>9</v>
      </c>
      <c r="B1771" s="21">
        <v>46041</v>
      </c>
      <c r="C1771" t="s">
        <v>352</v>
      </c>
      <c r="D1771">
        <v>16</v>
      </c>
      <c r="E1771" t="s">
        <v>353</v>
      </c>
      <c r="F1771" s="21">
        <v>37350</v>
      </c>
      <c r="G1771" s="24" t="s">
        <v>276</v>
      </c>
      <c r="H1771" t="s">
        <v>278</v>
      </c>
      <c r="I1771" t="s">
        <v>329</v>
      </c>
      <c r="J1771" t="s">
        <v>332</v>
      </c>
      <c r="K1771" t="s">
        <v>342</v>
      </c>
      <c r="M1771" t="s">
        <v>357</v>
      </c>
    </row>
    <row r="1772" spans="1:13" x14ac:dyDescent="0.2">
      <c r="A1772">
        <v>9</v>
      </c>
      <c r="B1772" s="21">
        <v>46041</v>
      </c>
      <c r="C1772" t="s">
        <v>352</v>
      </c>
      <c r="D1772">
        <v>16</v>
      </c>
      <c r="E1772" t="s">
        <v>353</v>
      </c>
      <c r="F1772" s="21">
        <v>37350</v>
      </c>
      <c r="G1772" s="24" t="s">
        <v>276</v>
      </c>
      <c r="H1772" t="s">
        <v>278</v>
      </c>
      <c r="I1772" t="s">
        <v>329</v>
      </c>
      <c r="J1772" t="s">
        <v>332</v>
      </c>
      <c r="M1772" t="s">
        <v>357</v>
      </c>
    </row>
    <row r="1773" spans="1:13" x14ac:dyDescent="0.2">
      <c r="A1773">
        <v>9</v>
      </c>
      <c r="B1773" s="21">
        <v>46041</v>
      </c>
      <c r="C1773" t="s">
        <v>352</v>
      </c>
      <c r="D1773">
        <v>16</v>
      </c>
      <c r="E1773" t="s">
        <v>353</v>
      </c>
      <c r="F1773" s="21">
        <v>37350</v>
      </c>
      <c r="G1773" s="24" t="s">
        <v>276</v>
      </c>
      <c r="H1773" t="s">
        <v>306</v>
      </c>
      <c r="I1773" t="s">
        <v>329</v>
      </c>
      <c r="J1773" t="s">
        <v>330</v>
      </c>
      <c r="M1773" t="s">
        <v>357</v>
      </c>
    </row>
    <row r="1774" spans="1:13" x14ac:dyDescent="0.2">
      <c r="A1774">
        <v>9</v>
      </c>
      <c r="B1774" s="21">
        <v>46041</v>
      </c>
      <c r="C1774" t="s">
        <v>352</v>
      </c>
      <c r="D1774">
        <v>16</v>
      </c>
      <c r="E1774" t="s">
        <v>353</v>
      </c>
      <c r="F1774" s="21">
        <v>37350</v>
      </c>
      <c r="G1774" s="24" t="s">
        <v>276</v>
      </c>
      <c r="H1774" t="s">
        <v>278</v>
      </c>
      <c r="I1774" t="s">
        <v>329</v>
      </c>
      <c r="J1774" t="s">
        <v>330</v>
      </c>
      <c r="K1774" t="s">
        <v>342</v>
      </c>
      <c r="M1774" t="s">
        <v>357</v>
      </c>
    </row>
    <row r="1775" spans="1:13" x14ac:dyDescent="0.2">
      <c r="A1775">
        <v>9</v>
      </c>
      <c r="B1775" s="21">
        <v>46041</v>
      </c>
      <c r="C1775" t="s">
        <v>352</v>
      </c>
      <c r="D1775">
        <v>16</v>
      </c>
      <c r="E1775" t="s">
        <v>353</v>
      </c>
      <c r="F1775" s="21">
        <v>37350</v>
      </c>
      <c r="G1775" s="24" t="s">
        <v>276</v>
      </c>
      <c r="H1775" t="s">
        <v>278</v>
      </c>
      <c r="I1775" t="s">
        <v>329</v>
      </c>
      <c r="J1775" t="s">
        <v>330</v>
      </c>
      <c r="K1775" t="s">
        <v>342</v>
      </c>
      <c r="M1775" t="s">
        <v>357</v>
      </c>
    </row>
    <row r="1776" spans="1:13" x14ac:dyDescent="0.2">
      <c r="A1776">
        <v>9</v>
      </c>
      <c r="B1776" s="21">
        <v>46041</v>
      </c>
      <c r="C1776" t="s">
        <v>352</v>
      </c>
      <c r="D1776">
        <v>16</v>
      </c>
      <c r="E1776" t="s">
        <v>353</v>
      </c>
      <c r="F1776" s="21">
        <v>37350</v>
      </c>
      <c r="G1776" s="24" t="s">
        <v>276</v>
      </c>
      <c r="H1776" t="s">
        <v>278</v>
      </c>
      <c r="I1776" t="s">
        <v>329</v>
      </c>
      <c r="J1776" t="s">
        <v>330</v>
      </c>
      <c r="K1776" t="s">
        <v>342</v>
      </c>
      <c r="M1776" t="s">
        <v>357</v>
      </c>
    </row>
    <row r="1777" spans="1:13" x14ac:dyDescent="0.2">
      <c r="A1777">
        <v>9</v>
      </c>
      <c r="B1777" s="21">
        <v>46041</v>
      </c>
      <c r="C1777" t="s">
        <v>352</v>
      </c>
      <c r="D1777">
        <v>16</v>
      </c>
      <c r="E1777" t="s">
        <v>353</v>
      </c>
      <c r="F1777" s="21">
        <v>37350</v>
      </c>
      <c r="G1777" s="24" t="s">
        <v>276</v>
      </c>
      <c r="H1777" t="s">
        <v>278</v>
      </c>
      <c r="I1777" t="s">
        <v>329</v>
      </c>
      <c r="J1777" t="s">
        <v>330</v>
      </c>
      <c r="K1777" t="s">
        <v>342</v>
      </c>
      <c r="M1777" t="s">
        <v>357</v>
      </c>
    </row>
    <row r="1778" spans="1:13" x14ac:dyDescent="0.2">
      <c r="A1778">
        <v>9</v>
      </c>
      <c r="B1778" s="21">
        <v>46041</v>
      </c>
      <c r="C1778" t="s">
        <v>352</v>
      </c>
      <c r="D1778">
        <v>16</v>
      </c>
      <c r="E1778" t="s">
        <v>353</v>
      </c>
      <c r="F1778" s="21">
        <v>37350</v>
      </c>
      <c r="G1778" s="24" t="s">
        <v>276</v>
      </c>
      <c r="H1778" t="s">
        <v>278</v>
      </c>
      <c r="I1778" t="s">
        <v>329</v>
      </c>
      <c r="J1778" t="s">
        <v>330</v>
      </c>
      <c r="K1778" t="s">
        <v>342</v>
      </c>
      <c r="M1778" t="s">
        <v>357</v>
      </c>
    </row>
    <row r="1779" spans="1:13" x14ac:dyDescent="0.2">
      <c r="A1779">
        <v>9</v>
      </c>
      <c r="B1779" s="21">
        <v>46041</v>
      </c>
      <c r="C1779" t="s">
        <v>352</v>
      </c>
      <c r="D1779">
        <v>16</v>
      </c>
      <c r="E1779" t="s">
        <v>353</v>
      </c>
      <c r="F1779" s="21">
        <v>37350</v>
      </c>
      <c r="G1779" s="24" t="s">
        <v>276</v>
      </c>
      <c r="H1779" t="s">
        <v>278</v>
      </c>
      <c r="I1779" t="s">
        <v>329</v>
      </c>
      <c r="J1779" t="s">
        <v>330</v>
      </c>
      <c r="K1779" t="s">
        <v>342</v>
      </c>
      <c r="M1779" t="s">
        <v>357</v>
      </c>
    </row>
    <row r="1780" spans="1:13" x14ac:dyDescent="0.2">
      <c r="A1780">
        <v>9</v>
      </c>
      <c r="B1780" s="21">
        <v>46041</v>
      </c>
      <c r="C1780" t="s">
        <v>352</v>
      </c>
      <c r="D1780">
        <v>16</v>
      </c>
      <c r="E1780" t="s">
        <v>353</v>
      </c>
      <c r="F1780" s="21">
        <v>37350</v>
      </c>
      <c r="G1780" s="24" t="s">
        <v>276</v>
      </c>
      <c r="H1780" t="s">
        <v>278</v>
      </c>
      <c r="I1780" t="s">
        <v>329</v>
      </c>
      <c r="J1780" t="s">
        <v>330</v>
      </c>
      <c r="K1780" t="s">
        <v>342</v>
      </c>
      <c r="M1780" t="s">
        <v>357</v>
      </c>
    </row>
    <row r="1781" spans="1:13" x14ac:dyDescent="0.2">
      <c r="A1781">
        <v>9</v>
      </c>
      <c r="B1781" s="21">
        <v>46041</v>
      </c>
      <c r="C1781" t="s">
        <v>352</v>
      </c>
      <c r="D1781">
        <v>16</v>
      </c>
      <c r="E1781" t="s">
        <v>353</v>
      </c>
      <c r="F1781" s="21">
        <v>37350</v>
      </c>
      <c r="G1781" s="24" t="s">
        <v>276</v>
      </c>
      <c r="H1781" t="s">
        <v>278</v>
      </c>
      <c r="I1781" t="s">
        <v>329</v>
      </c>
      <c r="J1781" t="s">
        <v>330</v>
      </c>
      <c r="K1781" t="s">
        <v>342</v>
      </c>
      <c r="M1781" t="s">
        <v>357</v>
      </c>
    </row>
    <row r="1782" spans="1:13" x14ac:dyDescent="0.2">
      <c r="A1782">
        <v>9</v>
      </c>
      <c r="B1782" s="21">
        <v>46041</v>
      </c>
      <c r="C1782" t="s">
        <v>352</v>
      </c>
      <c r="D1782">
        <v>16</v>
      </c>
      <c r="E1782" t="s">
        <v>353</v>
      </c>
      <c r="F1782" s="21">
        <v>37350</v>
      </c>
      <c r="G1782" s="24" t="s">
        <v>276</v>
      </c>
      <c r="H1782" t="s">
        <v>278</v>
      </c>
      <c r="I1782" t="s">
        <v>329</v>
      </c>
      <c r="J1782" t="s">
        <v>330</v>
      </c>
      <c r="K1782" t="s">
        <v>342</v>
      </c>
      <c r="M1782" t="s">
        <v>357</v>
      </c>
    </row>
    <row r="1783" spans="1:13" x14ac:dyDescent="0.2">
      <c r="A1783">
        <v>9</v>
      </c>
      <c r="B1783" s="21">
        <v>46041</v>
      </c>
      <c r="C1783" t="s">
        <v>352</v>
      </c>
      <c r="D1783">
        <v>16</v>
      </c>
      <c r="E1783" t="s">
        <v>353</v>
      </c>
      <c r="F1783" s="21">
        <v>37350</v>
      </c>
      <c r="G1783" s="24" t="s">
        <v>276</v>
      </c>
      <c r="H1783" t="s">
        <v>278</v>
      </c>
      <c r="I1783" t="s">
        <v>329</v>
      </c>
      <c r="J1783" t="s">
        <v>330</v>
      </c>
      <c r="K1783" t="s">
        <v>342</v>
      </c>
      <c r="M1783" t="s">
        <v>357</v>
      </c>
    </row>
    <row r="1784" spans="1:13" x14ac:dyDescent="0.2">
      <c r="A1784">
        <v>9</v>
      </c>
      <c r="B1784" s="21">
        <v>46041</v>
      </c>
      <c r="C1784" t="s">
        <v>352</v>
      </c>
      <c r="D1784">
        <v>16</v>
      </c>
      <c r="E1784" t="s">
        <v>353</v>
      </c>
      <c r="F1784" s="21">
        <v>37350</v>
      </c>
      <c r="G1784" s="24" t="s">
        <v>276</v>
      </c>
      <c r="H1784" t="s">
        <v>280</v>
      </c>
      <c r="I1784" t="s">
        <v>329</v>
      </c>
      <c r="J1784" t="s">
        <v>330</v>
      </c>
      <c r="K1784" t="s">
        <v>343</v>
      </c>
    </row>
    <row r="1785" spans="1:13" x14ac:dyDescent="0.2">
      <c r="A1785">
        <v>9</v>
      </c>
      <c r="B1785" s="21">
        <v>46041</v>
      </c>
      <c r="C1785" t="s">
        <v>352</v>
      </c>
      <c r="D1785">
        <v>16</v>
      </c>
      <c r="E1785" t="s">
        <v>353</v>
      </c>
      <c r="F1785" s="21">
        <v>37350</v>
      </c>
      <c r="G1785" s="24" t="s">
        <v>276</v>
      </c>
      <c r="H1785" t="s">
        <v>278</v>
      </c>
      <c r="I1785" t="s">
        <v>329</v>
      </c>
      <c r="J1785" t="s">
        <v>330</v>
      </c>
    </row>
    <row r="1786" spans="1:13" x14ac:dyDescent="0.2">
      <c r="A1786">
        <v>9</v>
      </c>
      <c r="B1786" s="21">
        <v>46041</v>
      </c>
      <c r="C1786" t="s">
        <v>352</v>
      </c>
      <c r="D1786">
        <v>16</v>
      </c>
      <c r="E1786" t="s">
        <v>353</v>
      </c>
      <c r="F1786" s="21">
        <v>37350</v>
      </c>
      <c r="G1786" s="24" t="s">
        <v>276</v>
      </c>
      <c r="H1786" t="s">
        <v>306</v>
      </c>
      <c r="I1786" t="s">
        <v>337</v>
      </c>
      <c r="J1786" t="s">
        <v>332</v>
      </c>
      <c r="K1786" t="s">
        <v>340</v>
      </c>
    </row>
    <row r="1787" spans="1:13" x14ac:dyDescent="0.2">
      <c r="A1787">
        <v>9</v>
      </c>
      <c r="B1787" s="21">
        <v>46041</v>
      </c>
      <c r="C1787" t="s">
        <v>352</v>
      </c>
      <c r="D1787">
        <v>16</v>
      </c>
      <c r="E1787" t="s">
        <v>353</v>
      </c>
      <c r="F1787" s="21">
        <v>37350</v>
      </c>
      <c r="G1787" s="24" t="s">
        <v>276</v>
      </c>
      <c r="H1787" t="s">
        <v>280</v>
      </c>
      <c r="I1787" t="s">
        <v>329</v>
      </c>
      <c r="J1787" t="s">
        <v>330</v>
      </c>
      <c r="K1787" t="s">
        <v>343</v>
      </c>
    </row>
    <row r="1788" spans="1:13" x14ac:dyDescent="0.2">
      <c r="A1788">
        <v>9</v>
      </c>
      <c r="B1788" s="21">
        <v>46041</v>
      </c>
      <c r="C1788" t="s">
        <v>352</v>
      </c>
      <c r="D1788">
        <v>16</v>
      </c>
      <c r="E1788" t="s">
        <v>353</v>
      </c>
      <c r="F1788" s="21">
        <v>37350</v>
      </c>
      <c r="G1788" s="24" t="s">
        <v>276</v>
      </c>
      <c r="H1788" t="s">
        <v>278</v>
      </c>
      <c r="I1788" t="s">
        <v>339</v>
      </c>
      <c r="J1788" t="s">
        <v>330</v>
      </c>
      <c r="K1788" t="s">
        <v>331</v>
      </c>
    </row>
    <row r="1789" spans="1:13" x14ac:dyDescent="0.2">
      <c r="A1789">
        <v>9</v>
      </c>
      <c r="B1789" s="21">
        <v>46041</v>
      </c>
      <c r="C1789" t="s">
        <v>352</v>
      </c>
      <c r="D1789">
        <v>16</v>
      </c>
      <c r="E1789" t="s">
        <v>353</v>
      </c>
      <c r="F1789" s="21">
        <v>37350</v>
      </c>
      <c r="G1789" s="24" t="s">
        <v>276</v>
      </c>
      <c r="H1789" t="s">
        <v>280</v>
      </c>
      <c r="I1789" t="s">
        <v>347</v>
      </c>
    </row>
    <row r="1790" spans="1:13" x14ac:dyDescent="0.2">
      <c r="A1790">
        <v>9</v>
      </c>
      <c r="B1790" s="21">
        <v>46041</v>
      </c>
      <c r="C1790" t="s">
        <v>352</v>
      </c>
      <c r="D1790">
        <v>16</v>
      </c>
      <c r="E1790" t="s">
        <v>353</v>
      </c>
      <c r="F1790" s="21">
        <v>37350</v>
      </c>
      <c r="G1790" s="24" t="s">
        <v>276</v>
      </c>
      <c r="H1790" t="s">
        <v>280</v>
      </c>
      <c r="I1790" t="s">
        <v>347</v>
      </c>
    </row>
    <row r="1791" spans="1:13" x14ac:dyDescent="0.2">
      <c r="A1791">
        <v>9</v>
      </c>
      <c r="B1791" s="21">
        <v>46041</v>
      </c>
      <c r="C1791" t="s">
        <v>352</v>
      </c>
      <c r="D1791">
        <v>16</v>
      </c>
      <c r="E1791" t="s">
        <v>353</v>
      </c>
      <c r="F1791" s="21">
        <v>37350</v>
      </c>
      <c r="G1791" s="24" t="s">
        <v>276</v>
      </c>
      <c r="H1791" t="s">
        <v>284</v>
      </c>
      <c r="I1791" t="s">
        <v>344</v>
      </c>
    </row>
    <row r="1792" spans="1:13" x14ac:dyDescent="0.2">
      <c r="A1792">
        <v>9</v>
      </c>
      <c r="B1792" s="21">
        <v>46041</v>
      </c>
      <c r="C1792" t="s">
        <v>352</v>
      </c>
      <c r="D1792">
        <v>16</v>
      </c>
      <c r="E1792" t="s">
        <v>353</v>
      </c>
      <c r="F1792" s="21">
        <v>37350</v>
      </c>
      <c r="G1792" s="24" t="s">
        <v>276</v>
      </c>
      <c r="H1792" t="s">
        <v>284</v>
      </c>
      <c r="I1792" t="s">
        <v>347</v>
      </c>
      <c r="J1792" t="s">
        <v>332</v>
      </c>
      <c r="K1792" t="s">
        <v>331</v>
      </c>
    </row>
    <row r="1793" spans="1:10" x14ac:dyDescent="0.2">
      <c r="A1793">
        <v>9</v>
      </c>
      <c r="B1793" s="21">
        <v>46041</v>
      </c>
      <c r="C1793" t="s">
        <v>352</v>
      </c>
      <c r="D1793">
        <v>16</v>
      </c>
      <c r="E1793" t="s">
        <v>353</v>
      </c>
      <c r="F1793" s="21">
        <v>37350</v>
      </c>
      <c r="G1793" s="24" t="s">
        <v>276</v>
      </c>
      <c r="H1793" t="s">
        <v>292</v>
      </c>
      <c r="I1793" t="s">
        <v>329</v>
      </c>
      <c r="J1793" t="s">
        <v>330</v>
      </c>
    </row>
    <row r="1794" spans="1:10" x14ac:dyDescent="0.2">
      <c r="A1794">
        <v>9</v>
      </c>
      <c r="B1794" s="21">
        <v>46041</v>
      </c>
      <c r="C1794" t="s">
        <v>352</v>
      </c>
      <c r="D1794">
        <v>16</v>
      </c>
      <c r="E1794" t="s">
        <v>353</v>
      </c>
      <c r="F1794" s="21">
        <v>37350</v>
      </c>
      <c r="G1794" s="24" t="s">
        <v>276</v>
      </c>
    </row>
    <row r="1795" spans="1:10" x14ac:dyDescent="0.2">
      <c r="A1795">
        <v>9</v>
      </c>
      <c r="B1795" s="21">
        <v>46041</v>
      </c>
      <c r="C1795" t="s">
        <v>352</v>
      </c>
      <c r="D1795">
        <v>16</v>
      </c>
      <c r="E1795" t="s">
        <v>353</v>
      </c>
      <c r="F1795" s="21">
        <v>37350</v>
      </c>
      <c r="G1795" s="24" t="s">
        <v>276</v>
      </c>
    </row>
    <row r="1796" spans="1:10" x14ac:dyDescent="0.2">
      <c r="A1796">
        <v>9</v>
      </c>
      <c r="B1796" s="21">
        <v>46041</v>
      </c>
      <c r="C1796" t="s">
        <v>352</v>
      </c>
      <c r="D1796">
        <v>16</v>
      </c>
      <c r="E1796" t="s">
        <v>353</v>
      </c>
      <c r="F1796" s="21">
        <v>37350</v>
      </c>
      <c r="G1796" s="24" t="s">
        <v>276</v>
      </c>
    </row>
    <row r="1797" spans="1:10" x14ac:dyDescent="0.2">
      <c r="A1797">
        <v>9</v>
      </c>
      <c r="B1797" s="21">
        <v>46041</v>
      </c>
      <c r="C1797" t="s">
        <v>352</v>
      </c>
      <c r="D1797">
        <v>16</v>
      </c>
      <c r="E1797" t="s">
        <v>353</v>
      </c>
      <c r="F1797" s="21">
        <v>37350</v>
      </c>
      <c r="G1797" s="24" t="s">
        <v>276</v>
      </c>
    </row>
    <row r="1798" spans="1:10" x14ac:dyDescent="0.2">
      <c r="A1798">
        <v>9</v>
      </c>
      <c r="B1798" s="21">
        <v>46041</v>
      </c>
      <c r="C1798" t="s">
        <v>352</v>
      </c>
      <c r="D1798">
        <v>16</v>
      </c>
      <c r="E1798" t="s">
        <v>353</v>
      </c>
      <c r="F1798" s="21">
        <v>37350</v>
      </c>
      <c r="G1798" s="24" t="s">
        <v>276</v>
      </c>
    </row>
    <row r="1799" spans="1:10" x14ac:dyDescent="0.2">
      <c r="A1799">
        <v>9</v>
      </c>
      <c r="B1799" s="21">
        <v>46041</v>
      </c>
      <c r="C1799" t="s">
        <v>352</v>
      </c>
      <c r="D1799">
        <v>16</v>
      </c>
      <c r="E1799" t="s">
        <v>353</v>
      </c>
      <c r="F1799" s="21">
        <v>37350</v>
      </c>
      <c r="G1799" s="24" t="s">
        <v>276</v>
      </c>
    </row>
    <row r="1800" spans="1:10" x14ac:dyDescent="0.2">
      <c r="A1800">
        <v>9</v>
      </c>
      <c r="B1800" s="21">
        <v>46041</v>
      </c>
      <c r="C1800" t="s">
        <v>352</v>
      </c>
      <c r="D1800">
        <v>16</v>
      </c>
      <c r="E1800" t="s">
        <v>353</v>
      </c>
      <c r="F1800" s="21">
        <v>37350</v>
      </c>
      <c r="G1800" s="24" t="s">
        <v>276</v>
      </c>
    </row>
    <row r="1827" spans="6:6" x14ac:dyDescent="0.2">
      <c r="F1827" s="21"/>
    </row>
    <row r="1828" spans="6:6" x14ac:dyDescent="0.2">
      <c r="F1828" s="21"/>
    </row>
    <row r="1829" spans="6:6" x14ac:dyDescent="0.2">
      <c r="F1829" s="21"/>
    </row>
    <row r="1830" spans="6:6" x14ac:dyDescent="0.2">
      <c r="F1830" s="21"/>
    </row>
    <row r="1831" spans="6:6" x14ac:dyDescent="0.2">
      <c r="F1831" s="21"/>
    </row>
    <row r="1832" spans="6:6" x14ac:dyDescent="0.2">
      <c r="F1832" s="21"/>
    </row>
    <row r="1833" spans="6:6" x14ac:dyDescent="0.2">
      <c r="F1833" s="21"/>
    </row>
    <row r="1834" spans="6:6" x14ac:dyDescent="0.2">
      <c r="F1834" s="21"/>
    </row>
    <row r="1835" spans="6:6" x14ac:dyDescent="0.2">
      <c r="F1835" s="21"/>
    </row>
    <row r="1836" spans="6:6" x14ac:dyDescent="0.2">
      <c r="F1836" s="21"/>
    </row>
    <row r="1837" spans="6:6" x14ac:dyDescent="0.2">
      <c r="F1837" s="21"/>
    </row>
    <row r="1838" spans="6:6" x14ac:dyDescent="0.2">
      <c r="F1838" s="21"/>
    </row>
    <row r="1839" spans="6:6" x14ac:dyDescent="0.2">
      <c r="F1839" s="21"/>
    </row>
    <row r="1840" spans="6:6" x14ac:dyDescent="0.2">
      <c r="F1840" s="21"/>
    </row>
    <row r="1841" spans="6:6" x14ac:dyDescent="0.2">
      <c r="F1841" s="21"/>
    </row>
    <row r="1842" spans="6:6" x14ac:dyDescent="0.2">
      <c r="F1842" s="21"/>
    </row>
    <row r="1843" spans="6:6" x14ac:dyDescent="0.2">
      <c r="F1843" s="21"/>
    </row>
    <row r="1844" spans="6:6" x14ac:dyDescent="0.2">
      <c r="F1844" s="21"/>
    </row>
    <row r="1845" spans="6:6" x14ac:dyDescent="0.2">
      <c r="F1845" s="21"/>
    </row>
    <row r="1846" spans="6:6" x14ac:dyDescent="0.2">
      <c r="F1846" s="21"/>
    </row>
    <row r="1847" spans="6:6" x14ac:dyDescent="0.2">
      <c r="F1847" s="21"/>
    </row>
    <row r="1848" spans="6:6" x14ac:dyDescent="0.2">
      <c r="F1848" s="21"/>
    </row>
    <row r="1849" spans="6:6" x14ac:dyDescent="0.2">
      <c r="F1849" s="21"/>
    </row>
    <row r="1850" spans="6:6" x14ac:dyDescent="0.2">
      <c r="F1850" s="21"/>
    </row>
    <row r="1851" spans="6:6" x14ac:dyDescent="0.2">
      <c r="F1851" s="21"/>
    </row>
    <row r="1852" spans="6:6" x14ac:dyDescent="0.2">
      <c r="F1852" s="21"/>
    </row>
    <row r="1853" spans="6:6" x14ac:dyDescent="0.2">
      <c r="F1853" s="21"/>
    </row>
    <row r="1854" spans="6:6" x14ac:dyDescent="0.2">
      <c r="F1854" s="21"/>
    </row>
    <row r="1855" spans="6:6" x14ac:dyDescent="0.2">
      <c r="F1855" s="21"/>
    </row>
    <row r="1856" spans="6:6" x14ac:dyDescent="0.2">
      <c r="F1856" s="21"/>
    </row>
    <row r="1857" spans="6:6" x14ac:dyDescent="0.2">
      <c r="F1857" s="21"/>
    </row>
    <row r="1858" spans="6:6" x14ac:dyDescent="0.2">
      <c r="F1858" s="21"/>
    </row>
    <row r="1859" spans="6:6" x14ac:dyDescent="0.2">
      <c r="F1859" s="21"/>
    </row>
    <row r="1860" spans="6:6" x14ac:dyDescent="0.2">
      <c r="F1860" s="21"/>
    </row>
    <row r="1861" spans="6:6" x14ac:dyDescent="0.2">
      <c r="F1861" s="21"/>
    </row>
    <row r="1862" spans="6:6" x14ac:dyDescent="0.2">
      <c r="F1862" s="21"/>
    </row>
    <row r="1863" spans="6:6" x14ac:dyDescent="0.2">
      <c r="F1863" s="21"/>
    </row>
    <row r="1864" spans="6:6" x14ac:dyDescent="0.2">
      <c r="F1864" s="21"/>
    </row>
    <row r="1865" spans="6:6" x14ac:dyDescent="0.2">
      <c r="F1865" s="21"/>
    </row>
    <row r="1866" spans="6:6" x14ac:dyDescent="0.2">
      <c r="F1866" s="21"/>
    </row>
    <row r="1867" spans="6:6" x14ac:dyDescent="0.2">
      <c r="F1867" s="21"/>
    </row>
    <row r="1868" spans="6:6" x14ac:dyDescent="0.2">
      <c r="F1868" s="21"/>
    </row>
    <row r="1869" spans="6:6" x14ac:dyDescent="0.2">
      <c r="F1869" s="21"/>
    </row>
    <row r="1870" spans="6:6" x14ac:dyDescent="0.2">
      <c r="F1870" s="21"/>
    </row>
    <row r="1871" spans="6:6" x14ac:dyDescent="0.2">
      <c r="F1871" s="21"/>
    </row>
    <row r="1872" spans="6:6" x14ac:dyDescent="0.2">
      <c r="F1872" s="21"/>
    </row>
    <row r="1873" spans="6:6" x14ac:dyDescent="0.2">
      <c r="F1873" s="21"/>
    </row>
    <row r="1874" spans="6:6" x14ac:dyDescent="0.2">
      <c r="F1874" s="21"/>
    </row>
    <row r="1875" spans="6:6" x14ac:dyDescent="0.2">
      <c r="F1875" s="21"/>
    </row>
    <row r="1876" spans="6:6" x14ac:dyDescent="0.2">
      <c r="F1876" s="21"/>
    </row>
    <row r="1877" spans="6:6" x14ac:dyDescent="0.2">
      <c r="F1877" s="21"/>
    </row>
    <row r="1878" spans="6:6" x14ac:dyDescent="0.2">
      <c r="F1878" s="21"/>
    </row>
    <row r="1879" spans="6:6" x14ac:dyDescent="0.2">
      <c r="F1879" s="21"/>
    </row>
    <row r="1880" spans="6:6" x14ac:dyDescent="0.2">
      <c r="F1880" s="21"/>
    </row>
    <row r="1881" spans="6:6" x14ac:dyDescent="0.2">
      <c r="F1881" s="21"/>
    </row>
    <row r="1882" spans="6:6" x14ac:dyDescent="0.2">
      <c r="F1882" s="21"/>
    </row>
    <row r="1883" spans="6:6" x14ac:dyDescent="0.2">
      <c r="F1883" s="21"/>
    </row>
    <row r="1884" spans="6:6" x14ac:dyDescent="0.2">
      <c r="F1884" s="21"/>
    </row>
    <row r="1885" spans="6:6" x14ac:dyDescent="0.2">
      <c r="F1885" s="21"/>
    </row>
    <row r="1886" spans="6:6" x14ac:dyDescent="0.2">
      <c r="F1886" s="21"/>
    </row>
    <row r="1887" spans="6:6" x14ac:dyDescent="0.2">
      <c r="F1887" s="21"/>
    </row>
    <row r="1888" spans="6:6" x14ac:dyDescent="0.2">
      <c r="F1888" s="21"/>
    </row>
    <row r="1889" spans="6:6" x14ac:dyDescent="0.2">
      <c r="F1889" s="21"/>
    </row>
    <row r="1890" spans="6:6" x14ac:dyDescent="0.2">
      <c r="F1890" s="21"/>
    </row>
    <row r="1891" spans="6:6" x14ac:dyDescent="0.2">
      <c r="F1891" s="21"/>
    </row>
    <row r="1892" spans="6:6" x14ac:dyDescent="0.2">
      <c r="F1892" s="21"/>
    </row>
    <row r="1893" spans="6:6" x14ac:dyDescent="0.2">
      <c r="F1893" s="21"/>
    </row>
    <row r="1894" spans="6:6" x14ac:dyDescent="0.2">
      <c r="F1894" s="21"/>
    </row>
    <row r="1895" spans="6:6" x14ac:dyDescent="0.2">
      <c r="F1895" s="21"/>
    </row>
    <row r="1896" spans="6:6" x14ac:dyDescent="0.2">
      <c r="F1896" s="21"/>
    </row>
    <row r="1897" spans="6:6" x14ac:dyDescent="0.2">
      <c r="F1897" s="21"/>
    </row>
    <row r="1898" spans="6:6" x14ac:dyDescent="0.2">
      <c r="F1898" s="21"/>
    </row>
    <row r="1899" spans="6:6" x14ac:dyDescent="0.2">
      <c r="F1899" s="21"/>
    </row>
    <row r="1900" spans="6:6" x14ac:dyDescent="0.2">
      <c r="F1900" s="21"/>
    </row>
    <row r="1901" spans="6:6" x14ac:dyDescent="0.2">
      <c r="F1901" s="21"/>
    </row>
    <row r="1902" spans="6:6" x14ac:dyDescent="0.2">
      <c r="F1902" s="21"/>
    </row>
    <row r="1903" spans="6:6" x14ac:dyDescent="0.2">
      <c r="F1903" s="21"/>
    </row>
    <row r="1904" spans="6:6" x14ac:dyDescent="0.2">
      <c r="F1904" s="21"/>
    </row>
    <row r="1905" spans="6:6" x14ac:dyDescent="0.2">
      <c r="F1905" s="21"/>
    </row>
    <row r="1906" spans="6:6" x14ac:dyDescent="0.2">
      <c r="F1906" s="21"/>
    </row>
    <row r="1907" spans="6:6" x14ac:dyDescent="0.2">
      <c r="F1907" s="21"/>
    </row>
    <row r="1908" spans="6:6" x14ac:dyDescent="0.2">
      <c r="F1908" s="21"/>
    </row>
    <row r="1909" spans="6:6" x14ac:dyDescent="0.2">
      <c r="F1909" s="21"/>
    </row>
    <row r="1910" spans="6:6" x14ac:dyDescent="0.2">
      <c r="F1910" s="21"/>
    </row>
    <row r="1911" spans="6:6" x14ac:dyDescent="0.2">
      <c r="F1911" s="21"/>
    </row>
    <row r="1912" spans="6:6" x14ac:dyDescent="0.2">
      <c r="F1912" s="21"/>
    </row>
    <row r="1913" spans="6:6" x14ac:dyDescent="0.2">
      <c r="F1913" s="21"/>
    </row>
    <row r="1914" spans="6:6" x14ac:dyDescent="0.2">
      <c r="F1914" s="21"/>
    </row>
    <row r="1915" spans="6:6" x14ac:dyDescent="0.2">
      <c r="F1915" s="21"/>
    </row>
    <row r="1916" spans="6:6" x14ac:dyDescent="0.2">
      <c r="F1916" s="21"/>
    </row>
    <row r="1917" spans="6:6" x14ac:dyDescent="0.2">
      <c r="F1917" s="21"/>
    </row>
    <row r="1918" spans="6:6" x14ac:dyDescent="0.2">
      <c r="F1918" s="21"/>
    </row>
    <row r="1919" spans="6:6" x14ac:dyDescent="0.2">
      <c r="F1919" s="21"/>
    </row>
    <row r="1920" spans="6:6" x14ac:dyDescent="0.2">
      <c r="F1920" s="21"/>
    </row>
    <row r="1921" spans="6:6" x14ac:dyDescent="0.2">
      <c r="F1921" s="21"/>
    </row>
    <row r="1922" spans="6:6" x14ac:dyDescent="0.2">
      <c r="F1922" s="21"/>
    </row>
    <row r="1923" spans="6:6" x14ac:dyDescent="0.2">
      <c r="F1923" s="21"/>
    </row>
    <row r="1924" spans="6:6" x14ac:dyDescent="0.2">
      <c r="F1924" s="21"/>
    </row>
    <row r="1925" spans="6:6" x14ac:dyDescent="0.2">
      <c r="F1925" s="21"/>
    </row>
    <row r="1926" spans="6:6" x14ac:dyDescent="0.2">
      <c r="F1926" s="21"/>
    </row>
    <row r="1927" spans="6:6" x14ac:dyDescent="0.2">
      <c r="F1927" s="21"/>
    </row>
    <row r="1928" spans="6:6" x14ac:dyDescent="0.2">
      <c r="F1928" s="21"/>
    </row>
    <row r="1929" spans="6:6" x14ac:dyDescent="0.2">
      <c r="F1929" s="21"/>
    </row>
    <row r="1930" spans="6:6" x14ac:dyDescent="0.2">
      <c r="F1930" s="21"/>
    </row>
    <row r="1931" spans="6:6" x14ac:dyDescent="0.2">
      <c r="F1931" s="21"/>
    </row>
    <row r="1932" spans="6:6" x14ac:dyDescent="0.2">
      <c r="F1932" s="21"/>
    </row>
    <row r="1933" spans="6:6" x14ac:dyDescent="0.2">
      <c r="F1933" s="21"/>
    </row>
    <row r="1934" spans="6:6" x14ac:dyDescent="0.2">
      <c r="F1934" s="21"/>
    </row>
    <row r="1935" spans="6:6" x14ac:dyDescent="0.2">
      <c r="F1935" s="21"/>
    </row>
    <row r="1936" spans="6:6" x14ac:dyDescent="0.2">
      <c r="F1936" s="21"/>
    </row>
    <row r="1937" spans="6:6" x14ac:dyDescent="0.2">
      <c r="F1937" s="21"/>
    </row>
    <row r="1938" spans="6:6" x14ac:dyDescent="0.2">
      <c r="F1938" s="21"/>
    </row>
    <row r="1939" spans="6:6" x14ac:dyDescent="0.2">
      <c r="F1939" s="21"/>
    </row>
    <row r="1940" spans="6:6" x14ac:dyDescent="0.2">
      <c r="F1940" s="21"/>
    </row>
    <row r="1941" spans="6:6" x14ac:dyDescent="0.2">
      <c r="F1941" s="21"/>
    </row>
    <row r="1942" spans="6:6" x14ac:dyDescent="0.2">
      <c r="F1942" s="21"/>
    </row>
    <row r="1943" spans="6:6" x14ac:dyDescent="0.2">
      <c r="F1943" s="21"/>
    </row>
    <row r="1944" spans="6:6" x14ac:dyDescent="0.2">
      <c r="F1944" s="21"/>
    </row>
    <row r="1945" spans="6:6" x14ac:dyDescent="0.2">
      <c r="F1945" s="21"/>
    </row>
    <row r="1946" spans="6:6" x14ac:dyDescent="0.2">
      <c r="F1946" s="21"/>
    </row>
    <row r="1947" spans="6:6" x14ac:dyDescent="0.2">
      <c r="F1947" s="21"/>
    </row>
    <row r="1948" spans="6:6" x14ac:dyDescent="0.2">
      <c r="F1948" s="21"/>
    </row>
    <row r="1949" spans="6:6" x14ac:dyDescent="0.2">
      <c r="F1949" s="21"/>
    </row>
    <row r="1950" spans="6:6" x14ac:dyDescent="0.2">
      <c r="F1950" s="21"/>
    </row>
    <row r="1951" spans="6:6" x14ac:dyDescent="0.2">
      <c r="F1951" s="21"/>
    </row>
    <row r="1952" spans="6:6" x14ac:dyDescent="0.2">
      <c r="F1952" s="21"/>
    </row>
    <row r="1953" spans="6:6" x14ac:dyDescent="0.2">
      <c r="F1953" s="21"/>
    </row>
    <row r="1954" spans="6:6" x14ac:dyDescent="0.2">
      <c r="F1954" s="21"/>
    </row>
    <row r="1955" spans="6:6" x14ac:dyDescent="0.2">
      <c r="F1955" s="21"/>
    </row>
    <row r="1956" spans="6:6" x14ac:dyDescent="0.2">
      <c r="F1956" s="21"/>
    </row>
    <row r="1957" spans="6:6" x14ac:dyDescent="0.2">
      <c r="F1957" s="21"/>
    </row>
    <row r="1958" spans="6:6" x14ac:dyDescent="0.2">
      <c r="F1958" s="21"/>
    </row>
    <row r="1959" spans="6:6" x14ac:dyDescent="0.2">
      <c r="F1959" s="21"/>
    </row>
    <row r="1960" spans="6:6" x14ac:dyDescent="0.2">
      <c r="F1960" s="21"/>
    </row>
    <row r="1961" spans="6:6" x14ac:dyDescent="0.2">
      <c r="F1961" s="21"/>
    </row>
    <row r="1962" spans="6:6" x14ac:dyDescent="0.2">
      <c r="F1962" s="21"/>
    </row>
    <row r="1963" spans="6:6" x14ac:dyDescent="0.2">
      <c r="F1963" s="21"/>
    </row>
    <row r="1964" spans="6:6" x14ac:dyDescent="0.2">
      <c r="F1964" s="21"/>
    </row>
    <row r="1965" spans="6:6" x14ac:dyDescent="0.2">
      <c r="F1965" s="21"/>
    </row>
    <row r="1966" spans="6:6" x14ac:dyDescent="0.2">
      <c r="F1966" s="21"/>
    </row>
    <row r="1967" spans="6:6" x14ac:dyDescent="0.2">
      <c r="F1967" s="21"/>
    </row>
    <row r="1968" spans="6:6" x14ac:dyDescent="0.2">
      <c r="F1968" s="21"/>
    </row>
    <row r="1969" spans="6:6" x14ac:dyDescent="0.2">
      <c r="F1969" s="21"/>
    </row>
    <row r="1970" spans="6:6" x14ac:dyDescent="0.2">
      <c r="F1970" s="21"/>
    </row>
    <row r="1971" spans="6:6" x14ac:dyDescent="0.2">
      <c r="F1971" s="21"/>
    </row>
    <row r="1972" spans="6:6" x14ac:dyDescent="0.2">
      <c r="F1972" s="21"/>
    </row>
    <row r="1973" spans="6:6" x14ac:dyDescent="0.2">
      <c r="F1973" s="21"/>
    </row>
    <row r="1974" spans="6:6" x14ac:dyDescent="0.2">
      <c r="F1974" s="21"/>
    </row>
    <row r="1975" spans="6:6" x14ac:dyDescent="0.2">
      <c r="F1975" s="21"/>
    </row>
    <row r="1976" spans="6:6" x14ac:dyDescent="0.2">
      <c r="F1976" s="21"/>
    </row>
    <row r="1977" spans="6:6" x14ac:dyDescent="0.2">
      <c r="F1977" s="21"/>
    </row>
    <row r="1978" spans="6:6" x14ac:dyDescent="0.2">
      <c r="F1978" s="21"/>
    </row>
    <row r="1979" spans="6:6" x14ac:dyDescent="0.2">
      <c r="F1979" s="21"/>
    </row>
    <row r="1980" spans="6:6" x14ac:dyDescent="0.2">
      <c r="F1980" s="21"/>
    </row>
    <row r="1981" spans="6:6" x14ac:dyDescent="0.2">
      <c r="F1981" s="21"/>
    </row>
    <row r="1982" spans="6:6" x14ac:dyDescent="0.2">
      <c r="F1982" s="21"/>
    </row>
    <row r="1983" spans="6:6" x14ac:dyDescent="0.2">
      <c r="F1983" s="21"/>
    </row>
    <row r="1984" spans="6:6" x14ac:dyDescent="0.2">
      <c r="F1984" s="21"/>
    </row>
    <row r="1985" spans="6:6" x14ac:dyDescent="0.2">
      <c r="F1985" s="21"/>
    </row>
    <row r="1986" spans="6:6" x14ac:dyDescent="0.2">
      <c r="F1986" s="21"/>
    </row>
    <row r="1987" spans="6:6" x14ac:dyDescent="0.2">
      <c r="F1987" s="21"/>
    </row>
    <row r="1988" spans="6:6" x14ac:dyDescent="0.2">
      <c r="F1988" s="21"/>
    </row>
    <row r="1989" spans="6:6" x14ac:dyDescent="0.2">
      <c r="F1989" s="21"/>
    </row>
    <row r="1990" spans="6:6" x14ac:dyDescent="0.2">
      <c r="F1990" s="21"/>
    </row>
    <row r="1991" spans="6:6" x14ac:dyDescent="0.2">
      <c r="F1991" s="21"/>
    </row>
    <row r="1992" spans="6:6" x14ac:dyDescent="0.2">
      <c r="F1992" s="21"/>
    </row>
    <row r="1993" spans="6:6" x14ac:dyDescent="0.2">
      <c r="F1993" s="21"/>
    </row>
    <row r="1994" spans="6:6" x14ac:dyDescent="0.2">
      <c r="F1994" s="21"/>
    </row>
    <row r="1995" spans="6:6" x14ac:dyDescent="0.2">
      <c r="F1995" s="21"/>
    </row>
    <row r="1996" spans="6:6" x14ac:dyDescent="0.2">
      <c r="F1996" s="21"/>
    </row>
    <row r="1997" spans="6:6" x14ac:dyDescent="0.2">
      <c r="F1997" s="21"/>
    </row>
    <row r="1998" spans="6:6" x14ac:dyDescent="0.2">
      <c r="F1998" s="21"/>
    </row>
    <row r="1999" spans="6:6" x14ac:dyDescent="0.2">
      <c r="F1999" s="21"/>
    </row>
    <row r="2000" spans="6:6" x14ac:dyDescent="0.2">
      <c r="F2000" s="21"/>
    </row>
    <row r="2001" spans="6:6" x14ac:dyDescent="0.2">
      <c r="F2001" s="21"/>
    </row>
    <row r="2002" spans="6:6" x14ac:dyDescent="0.2">
      <c r="F2002" s="21"/>
    </row>
    <row r="2003" spans="6:6" x14ac:dyDescent="0.2">
      <c r="F2003" s="21"/>
    </row>
    <row r="2004" spans="6:6" x14ac:dyDescent="0.2">
      <c r="F2004" s="21"/>
    </row>
    <row r="2005" spans="6:6" x14ac:dyDescent="0.2">
      <c r="F2005" s="21"/>
    </row>
    <row r="2006" spans="6:6" x14ac:dyDescent="0.2">
      <c r="F2006" s="21"/>
    </row>
    <row r="2007" spans="6:6" x14ac:dyDescent="0.2">
      <c r="F2007" s="21"/>
    </row>
    <row r="2008" spans="6:6" x14ac:dyDescent="0.2">
      <c r="F2008" s="21"/>
    </row>
    <row r="2009" spans="6:6" x14ac:dyDescent="0.2">
      <c r="F2009" s="21"/>
    </row>
    <row r="2010" spans="6:6" x14ac:dyDescent="0.2">
      <c r="F2010" s="21"/>
    </row>
    <row r="2011" spans="6:6" x14ac:dyDescent="0.2">
      <c r="F2011" s="21"/>
    </row>
    <row r="2012" spans="6:6" x14ac:dyDescent="0.2">
      <c r="F2012" s="21"/>
    </row>
    <row r="2013" spans="6:6" x14ac:dyDescent="0.2">
      <c r="F2013" s="21"/>
    </row>
    <row r="2014" spans="6:6" x14ac:dyDescent="0.2">
      <c r="F2014" s="21"/>
    </row>
    <row r="2015" spans="6:6" x14ac:dyDescent="0.2">
      <c r="F2015" s="21"/>
    </row>
    <row r="2016" spans="6:6" x14ac:dyDescent="0.2">
      <c r="F2016" s="21"/>
    </row>
    <row r="2017" spans="6:6" x14ac:dyDescent="0.2">
      <c r="F2017" s="21"/>
    </row>
    <row r="2018" spans="6:6" x14ac:dyDescent="0.2">
      <c r="F2018" s="21"/>
    </row>
    <row r="2019" spans="6:6" x14ac:dyDescent="0.2">
      <c r="F2019" s="21"/>
    </row>
    <row r="2020" spans="6:6" x14ac:dyDescent="0.2">
      <c r="F2020" s="21"/>
    </row>
    <row r="2021" spans="6:6" x14ac:dyDescent="0.2">
      <c r="F2021" s="21"/>
    </row>
    <row r="2022" spans="6:6" x14ac:dyDescent="0.2">
      <c r="F2022" s="21"/>
    </row>
    <row r="2023" spans="6:6" x14ac:dyDescent="0.2">
      <c r="F2023" s="21"/>
    </row>
    <row r="2024" spans="6:6" x14ac:dyDescent="0.2">
      <c r="F2024" s="21"/>
    </row>
    <row r="2025" spans="6:6" x14ac:dyDescent="0.2">
      <c r="F2025" s="21"/>
    </row>
    <row r="2026" spans="6:6" x14ac:dyDescent="0.2">
      <c r="F2026" s="21"/>
    </row>
    <row r="2027" spans="6:6" x14ac:dyDescent="0.2">
      <c r="F2027" s="21"/>
    </row>
    <row r="2028" spans="6:6" x14ac:dyDescent="0.2">
      <c r="F2028" s="21"/>
    </row>
    <row r="2029" spans="6:6" x14ac:dyDescent="0.2">
      <c r="F2029" s="21"/>
    </row>
    <row r="2030" spans="6:6" x14ac:dyDescent="0.2">
      <c r="F2030" s="21"/>
    </row>
    <row r="2031" spans="6:6" x14ac:dyDescent="0.2">
      <c r="F2031" s="21"/>
    </row>
    <row r="2032" spans="6:6" x14ac:dyDescent="0.2">
      <c r="F2032" s="21"/>
    </row>
    <row r="2033" spans="6:6" x14ac:dyDescent="0.2">
      <c r="F2033" s="21"/>
    </row>
    <row r="2034" spans="6:6" x14ac:dyDescent="0.2">
      <c r="F2034" s="21"/>
    </row>
    <row r="2035" spans="6:6" x14ac:dyDescent="0.2">
      <c r="F2035" s="21"/>
    </row>
    <row r="2036" spans="6:6" x14ac:dyDescent="0.2">
      <c r="F2036" s="21"/>
    </row>
    <row r="2037" spans="6:6" x14ac:dyDescent="0.2">
      <c r="F2037" s="21"/>
    </row>
    <row r="2038" spans="6:6" x14ac:dyDescent="0.2">
      <c r="F2038" s="21"/>
    </row>
    <row r="2039" spans="6:6" x14ac:dyDescent="0.2">
      <c r="F2039" s="21"/>
    </row>
    <row r="2040" spans="6:6" x14ac:dyDescent="0.2">
      <c r="F2040" s="21"/>
    </row>
    <row r="2041" spans="6:6" x14ac:dyDescent="0.2">
      <c r="F2041" s="21"/>
    </row>
    <row r="2042" spans="6:6" x14ac:dyDescent="0.2">
      <c r="F2042" s="21"/>
    </row>
    <row r="2043" spans="6:6" x14ac:dyDescent="0.2">
      <c r="F2043" s="21"/>
    </row>
    <row r="2044" spans="6:6" x14ac:dyDescent="0.2">
      <c r="F2044" s="21"/>
    </row>
    <row r="2045" spans="6:6" x14ac:dyDescent="0.2">
      <c r="F2045" s="21"/>
    </row>
    <row r="2046" spans="6:6" x14ac:dyDescent="0.2">
      <c r="F2046" s="21"/>
    </row>
    <row r="2047" spans="6:6" x14ac:dyDescent="0.2">
      <c r="F2047" s="21"/>
    </row>
    <row r="2048" spans="6:6" x14ac:dyDescent="0.2">
      <c r="F2048" s="21"/>
    </row>
    <row r="2049" spans="6:6" x14ac:dyDescent="0.2">
      <c r="F2049" s="21"/>
    </row>
    <row r="2050" spans="6:6" x14ac:dyDescent="0.2">
      <c r="F2050" s="21"/>
    </row>
    <row r="2051" spans="6:6" x14ac:dyDescent="0.2">
      <c r="F2051" s="21"/>
    </row>
    <row r="2052" spans="6:6" x14ac:dyDescent="0.2">
      <c r="F2052" s="21"/>
    </row>
    <row r="2053" spans="6:6" x14ac:dyDescent="0.2">
      <c r="F2053" s="21"/>
    </row>
    <row r="2054" spans="6:6" x14ac:dyDescent="0.2">
      <c r="F2054" s="21"/>
    </row>
    <row r="2055" spans="6:6" x14ac:dyDescent="0.2">
      <c r="F2055" s="21"/>
    </row>
    <row r="2056" spans="6:6" x14ac:dyDescent="0.2">
      <c r="F2056" s="21"/>
    </row>
    <row r="2057" spans="6:6" x14ac:dyDescent="0.2">
      <c r="F2057" s="21"/>
    </row>
    <row r="2058" spans="6:6" x14ac:dyDescent="0.2">
      <c r="F2058" s="21"/>
    </row>
    <row r="2059" spans="6:6" x14ac:dyDescent="0.2">
      <c r="F2059" s="21"/>
    </row>
    <row r="2060" spans="6:6" x14ac:dyDescent="0.2">
      <c r="F2060" s="21"/>
    </row>
    <row r="2061" spans="6:6" x14ac:dyDescent="0.2">
      <c r="F2061" s="21"/>
    </row>
    <row r="2062" spans="6:6" x14ac:dyDescent="0.2">
      <c r="F2062" s="21"/>
    </row>
    <row r="2063" spans="6:6" x14ac:dyDescent="0.2">
      <c r="F2063" s="21"/>
    </row>
    <row r="2064" spans="6:6" x14ac:dyDescent="0.2">
      <c r="F2064" s="21"/>
    </row>
    <row r="2065" spans="6:6" x14ac:dyDescent="0.2">
      <c r="F2065" s="21"/>
    </row>
    <row r="2066" spans="6:6" x14ac:dyDescent="0.2">
      <c r="F2066" s="21"/>
    </row>
    <row r="2067" spans="6:6" x14ac:dyDescent="0.2">
      <c r="F2067" s="21"/>
    </row>
    <row r="2068" spans="6:6" x14ac:dyDescent="0.2">
      <c r="F2068" s="21"/>
    </row>
    <row r="2069" spans="6:6" x14ac:dyDescent="0.2">
      <c r="F2069" s="21"/>
    </row>
    <row r="2070" spans="6:6" x14ac:dyDescent="0.2">
      <c r="F2070" s="21"/>
    </row>
    <row r="2071" spans="6:6" x14ac:dyDescent="0.2">
      <c r="F2071" s="21"/>
    </row>
    <row r="2072" spans="6:6" x14ac:dyDescent="0.2">
      <c r="F2072" s="21"/>
    </row>
    <row r="2073" spans="6:6" x14ac:dyDescent="0.2">
      <c r="F2073" s="21"/>
    </row>
    <row r="2074" spans="6:6" x14ac:dyDescent="0.2">
      <c r="F2074" s="21"/>
    </row>
    <row r="2075" spans="6:6" x14ac:dyDescent="0.2">
      <c r="F2075" s="21"/>
    </row>
    <row r="2076" spans="6:6" x14ac:dyDescent="0.2">
      <c r="F2076" s="21"/>
    </row>
    <row r="2077" spans="6:6" x14ac:dyDescent="0.2">
      <c r="F2077" s="21"/>
    </row>
    <row r="2078" spans="6:6" x14ac:dyDescent="0.2">
      <c r="F2078" s="21"/>
    </row>
    <row r="2079" spans="6:6" x14ac:dyDescent="0.2">
      <c r="F2079" s="21"/>
    </row>
    <row r="2080" spans="6:6" x14ac:dyDescent="0.2">
      <c r="F2080" s="21"/>
    </row>
    <row r="2081" spans="6:6" x14ac:dyDescent="0.2">
      <c r="F2081" s="21"/>
    </row>
    <row r="2082" spans="6:6" x14ac:dyDescent="0.2">
      <c r="F2082" s="21"/>
    </row>
    <row r="2083" spans="6:6" x14ac:dyDescent="0.2">
      <c r="F2083" s="21"/>
    </row>
    <row r="2084" spans="6:6" x14ac:dyDescent="0.2">
      <c r="F2084" s="21"/>
    </row>
    <row r="2085" spans="6:6" x14ac:dyDescent="0.2">
      <c r="F2085" s="21"/>
    </row>
    <row r="2086" spans="6:6" x14ac:dyDescent="0.2">
      <c r="F2086" s="21"/>
    </row>
    <row r="2087" spans="6:6" x14ac:dyDescent="0.2">
      <c r="F2087" s="21"/>
    </row>
    <row r="2088" spans="6:6" x14ac:dyDescent="0.2">
      <c r="F2088" s="21"/>
    </row>
    <row r="2089" spans="6:6" x14ac:dyDescent="0.2">
      <c r="F2089" s="21"/>
    </row>
    <row r="2090" spans="6:6" x14ac:dyDescent="0.2">
      <c r="F2090" s="21"/>
    </row>
    <row r="2091" spans="6:6" x14ac:dyDescent="0.2">
      <c r="F2091" s="21"/>
    </row>
    <row r="2092" spans="6:6" x14ac:dyDescent="0.2">
      <c r="F2092" s="21"/>
    </row>
    <row r="2093" spans="6:6" x14ac:dyDescent="0.2">
      <c r="F2093" s="21"/>
    </row>
    <row r="2094" spans="6:6" x14ac:dyDescent="0.2">
      <c r="F2094" s="21"/>
    </row>
    <row r="2095" spans="6:6" x14ac:dyDescent="0.2">
      <c r="F2095" s="21"/>
    </row>
    <row r="2096" spans="6:6" x14ac:dyDescent="0.2">
      <c r="F2096" s="21"/>
    </row>
    <row r="2097" spans="6:6" x14ac:dyDescent="0.2">
      <c r="F2097" s="21"/>
    </row>
    <row r="2098" spans="6:6" x14ac:dyDescent="0.2">
      <c r="F2098" s="21"/>
    </row>
    <row r="2099" spans="6:6" x14ac:dyDescent="0.2">
      <c r="F2099" s="21"/>
    </row>
    <row r="2100" spans="6:6" x14ac:dyDescent="0.2">
      <c r="F2100" s="21"/>
    </row>
    <row r="2101" spans="6:6" x14ac:dyDescent="0.2">
      <c r="F2101" s="21"/>
    </row>
    <row r="2102" spans="6:6" x14ac:dyDescent="0.2">
      <c r="F2102" s="21"/>
    </row>
    <row r="2103" spans="6:6" x14ac:dyDescent="0.2">
      <c r="F2103" s="21"/>
    </row>
    <row r="2104" spans="6:6" x14ac:dyDescent="0.2">
      <c r="F2104" s="21"/>
    </row>
    <row r="2105" spans="6:6" x14ac:dyDescent="0.2">
      <c r="F2105" s="21"/>
    </row>
    <row r="2106" spans="6:6" x14ac:dyDescent="0.2">
      <c r="F2106" s="21"/>
    </row>
    <row r="2107" spans="6:6" x14ac:dyDescent="0.2">
      <c r="F2107" s="21"/>
    </row>
    <row r="2108" spans="6:6" x14ac:dyDescent="0.2">
      <c r="F2108" s="21"/>
    </row>
    <row r="2109" spans="6:6" x14ac:dyDescent="0.2">
      <c r="F2109" s="21"/>
    </row>
    <row r="2110" spans="6:6" x14ac:dyDescent="0.2">
      <c r="F2110" s="21"/>
    </row>
    <row r="2111" spans="6:6" x14ac:dyDescent="0.2">
      <c r="F2111" s="21"/>
    </row>
    <row r="2112" spans="6:6" x14ac:dyDescent="0.2">
      <c r="F2112" s="21"/>
    </row>
    <row r="2113" spans="6:6" x14ac:dyDescent="0.2">
      <c r="F2113" s="21"/>
    </row>
    <row r="2114" spans="6:6" x14ac:dyDescent="0.2">
      <c r="F2114" s="21"/>
    </row>
    <row r="2115" spans="6:6" x14ac:dyDescent="0.2">
      <c r="F2115" s="21"/>
    </row>
    <row r="2116" spans="6:6" x14ac:dyDescent="0.2">
      <c r="F2116" s="21"/>
    </row>
    <row r="2117" spans="6:6" x14ac:dyDescent="0.2">
      <c r="F2117" s="21"/>
    </row>
    <row r="2118" spans="6:6" x14ac:dyDescent="0.2">
      <c r="F2118" s="21"/>
    </row>
    <row r="2119" spans="6:6" x14ac:dyDescent="0.2">
      <c r="F2119" s="21"/>
    </row>
    <row r="2120" spans="6:6" x14ac:dyDescent="0.2">
      <c r="F2120" s="21"/>
    </row>
    <row r="2121" spans="6:6" x14ac:dyDescent="0.2">
      <c r="F2121" s="21"/>
    </row>
    <row r="2122" spans="6:6" x14ac:dyDescent="0.2">
      <c r="F2122" s="21"/>
    </row>
    <row r="2123" spans="6:6" x14ac:dyDescent="0.2">
      <c r="F2123" s="21"/>
    </row>
    <row r="2124" spans="6:6" x14ac:dyDescent="0.2">
      <c r="F2124" s="21"/>
    </row>
    <row r="2125" spans="6:6" x14ac:dyDescent="0.2">
      <c r="F2125" s="21"/>
    </row>
    <row r="2126" spans="6:6" x14ac:dyDescent="0.2">
      <c r="F2126" s="21"/>
    </row>
    <row r="2127" spans="6:6" x14ac:dyDescent="0.2">
      <c r="F2127" s="21"/>
    </row>
    <row r="2128" spans="6:6" x14ac:dyDescent="0.2">
      <c r="F2128" s="21"/>
    </row>
    <row r="2129" spans="6:6" x14ac:dyDescent="0.2">
      <c r="F2129" s="21"/>
    </row>
    <row r="2130" spans="6:6" x14ac:dyDescent="0.2">
      <c r="F2130" s="21"/>
    </row>
    <row r="2131" spans="6:6" x14ac:dyDescent="0.2">
      <c r="F2131" s="21"/>
    </row>
    <row r="2132" spans="6:6" x14ac:dyDescent="0.2">
      <c r="F2132" s="21"/>
    </row>
    <row r="2133" spans="6:6" x14ac:dyDescent="0.2">
      <c r="F2133" s="21"/>
    </row>
    <row r="2134" spans="6:6" x14ac:dyDescent="0.2">
      <c r="F2134" s="21"/>
    </row>
    <row r="2135" spans="6:6" x14ac:dyDescent="0.2">
      <c r="F2135" s="21"/>
    </row>
    <row r="2136" spans="6:6" x14ac:dyDescent="0.2">
      <c r="F2136" s="21"/>
    </row>
    <row r="2137" spans="6:6" x14ac:dyDescent="0.2">
      <c r="F2137" s="21"/>
    </row>
    <row r="2138" spans="6:6" x14ac:dyDescent="0.2">
      <c r="F2138" s="21"/>
    </row>
    <row r="2139" spans="6:6" x14ac:dyDescent="0.2">
      <c r="F2139" s="21"/>
    </row>
    <row r="2140" spans="6:6" x14ac:dyDescent="0.2">
      <c r="F2140" s="21"/>
    </row>
    <row r="2141" spans="6:6" x14ac:dyDescent="0.2">
      <c r="F2141" s="21"/>
    </row>
    <row r="2142" spans="6:6" x14ac:dyDescent="0.2">
      <c r="F2142" s="21"/>
    </row>
    <row r="2143" spans="6:6" x14ac:dyDescent="0.2">
      <c r="F2143" s="21"/>
    </row>
    <row r="2144" spans="6:6" x14ac:dyDescent="0.2">
      <c r="F2144" s="21"/>
    </row>
    <row r="2145" spans="6:6" x14ac:dyDescent="0.2">
      <c r="F2145" s="21"/>
    </row>
    <row r="2146" spans="6:6" x14ac:dyDescent="0.2">
      <c r="F2146" s="21"/>
    </row>
    <row r="2147" spans="6:6" x14ac:dyDescent="0.2">
      <c r="F2147" s="21"/>
    </row>
    <row r="2148" spans="6:6" x14ac:dyDescent="0.2">
      <c r="F2148" s="21"/>
    </row>
    <row r="2149" spans="6:6" x14ac:dyDescent="0.2">
      <c r="F2149" s="21"/>
    </row>
    <row r="2150" spans="6:6" x14ac:dyDescent="0.2">
      <c r="F2150" s="21"/>
    </row>
    <row r="2151" spans="6:6" x14ac:dyDescent="0.2">
      <c r="F2151" s="21"/>
    </row>
    <row r="2152" spans="6:6" x14ac:dyDescent="0.2">
      <c r="F2152" s="21"/>
    </row>
    <row r="2153" spans="6:6" x14ac:dyDescent="0.2">
      <c r="F2153" s="21"/>
    </row>
    <row r="2154" spans="6:6" x14ac:dyDescent="0.2">
      <c r="F2154" s="21"/>
    </row>
    <row r="2155" spans="6:6" x14ac:dyDescent="0.2">
      <c r="F2155" s="21"/>
    </row>
    <row r="2156" spans="6:6" x14ac:dyDescent="0.2">
      <c r="F2156" s="21"/>
    </row>
    <row r="2157" spans="6:6" x14ac:dyDescent="0.2">
      <c r="F2157" s="21"/>
    </row>
    <row r="2158" spans="6:6" x14ac:dyDescent="0.2">
      <c r="F2158" s="21"/>
    </row>
    <row r="2159" spans="6:6" x14ac:dyDescent="0.2">
      <c r="F2159" s="21"/>
    </row>
    <row r="2160" spans="6:6" x14ac:dyDescent="0.2">
      <c r="F2160" s="21"/>
    </row>
    <row r="2161" spans="6:6" x14ac:dyDescent="0.2">
      <c r="F2161" s="21"/>
    </row>
    <row r="2162" spans="6:6" x14ac:dyDescent="0.2">
      <c r="F2162" s="21"/>
    </row>
    <row r="2163" spans="6:6" x14ac:dyDescent="0.2">
      <c r="F2163" s="21"/>
    </row>
    <row r="2164" spans="6:6" x14ac:dyDescent="0.2">
      <c r="F2164" s="21"/>
    </row>
    <row r="2165" spans="6:6" x14ac:dyDescent="0.2">
      <c r="F2165" s="21"/>
    </row>
    <row r="2166" spans="6:6" x14ac:dyDescent="0.2">
      <c r="F2166" s="21"/>
    </row>
    <row r="2167" spans="6:6" x14ac:dyDescent="0.2">
      <c r="F2167" s="21"/>
    </row>
    <row r="2168" spans="6:6" x14ac:dyDescent="0.2">
      <c r="F2168" s="21"/>
    </row>
    <row r="2169" spans="6:6" x14ac:dyDescent="0.2">
      <c r="F2169" s="21"/>
    </row>
    <row r="2170" spans="6:6" x14ac:dyDescent="0.2">
      <c r="F2170" s="21"/>
    </row>
    <row r="2171" spans="6:6" x14ac:dyDescent="0.2">
      <c r="F2171" s="21"/>
    </row>
    <row r="2172" spans="6:6" x14ac:dyDescent="0.2">
      <c r="F2172" s="21"/>
    </row>
    <row r="2173" spans="6:6" x14ac:dyDescent="0.2">
      <c r="F2173" s="21"/>
    </row>
    <row r="2174" spans="6:6" x14ac:dyDescent="0.2">
      <c r="F2174" s="21"/>
    </row>
    <row r="2175" spans="6:6" x14ac:dyDescent="0.2">
      <c r="F2175" s="21"/>
    </row>
    <row r="2176" spans="6:6" x14ac:dyDescent="0.2">
      <c r="F2176" s="21"/>
    </row>
    <row r="2177" spans="6:6" x14ac:dyDescent="0.2">
      <c r="F2177" s="21"/>
    </row>
    <row r="2178" spans="6:6" x14ac:dyDescent="0.2">
      <c r="F2178" s="21"/>
    </row>
    <row r="2179" spans="6:6" x14ac:dyDescent="0.2">
      <c r="F2179" s="21"/>
    </row>
    <row r="2180" spans="6:6" x14ac:dyDescent="0.2">
      <c r="F2180" s="21"/>
    </row>
    <row r="2181" spans="6:6" x14ac:dyDescent="0.2">
      <c r="F2181" s="21"/>
    </row>
    <row r="2182" spans="6:6" x14ac:dyDescent="0.2">
      <c r="F2182" s="21"/>
    </row>
    <row r="2183" spans="6:6" x14ac:dyDescent="0.2">
      <c r="F2183" s="21"/>
    </row>
    <row r="2184" spans="6:6" x14ac:dyDescent="0.2">
      <c r="F2184" s="21"/>
    </row>
    <row r="2185" spans="6:6" x14ac:dyDescent="0.2">
      <c r="F2185" s="21"/>
    </row>
    <row r="2186" spans="6:6" x14ac:dyDescent="0.2">
      <c r="F2186" s="21"/>
    </row>
    <row r="2187" spans="6:6" x14ac:dyDescent="0.2">
      <c r="F2187" s="21"/>
    </row>
    <row r="2188" spans="6:6" x14ac:dyDescent="0.2">
      <c r="F2188" s="21"/>
    </row>
    <row r="2189" spans="6:6" x14ac:dyDescent="0.2">
      <c r="F2189" s="21"/>
    </row>
    <row r="2190" spans="6:6" x14ac:dyDescent="0.2">
      <c r="F2190" s="21"/>
    </row>
    <row r="2191" spans="6:6" x14ac:dyDescent="0.2">
      <c r="F2191" s="21"/>
    </row>
    <row r="2192" spans="6:6" x14ac:dyDescent="0.2">
      <c r="F2192" s="21"/>
    </row>
    <row r="2193" spans="6:6" x14ac:dyDescent="0.2">
      <c r="F2193" s="21"/>
    </row>
    <row r="2194" spans="6:6" x14ac:dyDescent="0.2">
      <c r="F2194" s="21"/>
    </row>
    <row r="2195" spans="6:6" x14ac:dyDescent="0.2">
      <c r="F2195" s="21"/>
    </row>
    <row r="2196" spans="6:6" x14ac:dyDescent="0.2">
      <c r="F2196" s="21"/>
    </row>
    <row r="2197" spans="6:6" x14ac:dyDescent="0.2">
      <c r="F2197" s="21"/>
    </row>
    <row r="2198" spans="6:6" x14ac:dyDescent="0.2">
      <c r="F2198" s="21"/>
    </row>
    <row r="2199" spans="6:6" x14ac:dyDescent="0.2">
      <c r="F2199" s="21"/>
    </row>
    <row r="2200" spans="6:6" x14ac:dyDescent="0.2">
      <c r="F2200" s="21"/>
    </row>
    <row r="2201" spans="6:6" x14ac:dyDescent="0.2">
      <c r="F2201" s="21"/>
    </row>
    <row r="2202" spans="6:6" x14ac:dyDescent="0.2">
      <c r="F2202" s="21"/>
    </row>
    <row r="2203" spans="6:6" x14ac:dyDescent="0.2">
      <c r="F2203" s="21"/>
    </row>
    <row r="2204" spans="6:6" x14ac:dyDescent="0.2">
      <c r="F2204" s="21"/>
    </row>
    <row r="2205" spans="6:6" x14ac:dyDescent="0.2">
      <c r="F2205" s="21"/>
    </row>
    <row r="2206" spans="6:6" x14ac:dyDescent="0.2">
      <c r="F2206" s="21"/>
    </row>
    <row r="2207" spans="6:6" x14ac:dyDescent="0.2">
      <c r="F2207" s="21"/>
    </row>
    <row r="2208" spans="6:6" x14ac:dyDescent="0.2">
      <c r="F2208" s="21"/>
    </row>
    <row r="2209" spans="6:6" x14ac:dyDescent="0.2">
      <c r="F2209" s="21"/>
    </row>
    <row r="2210" spans="6:6" x14ac:dyDescent="0.2">
      <c r="F2210" s="21"/>
    </row>
    <row r="2211" spans="6:6" x14ac:dyDescent="0.2">
      <c r="F2211" s="21"/>
    </row>
    <row r="2212" spans="6:6" x14ac:dyDescent="0.2">
      <c r="F2212" s="21"/>
    </row>
    <row r="2213" spans="6:6" x14ac:dyDescent="0.2">
      <c r="F2213" s="21"/>
    </row>
    <row r="2214" spans="6:6" x14ac:dyDescent="0.2">
      <c r="F2214" s="21"/>
    </row>
    <row r="2215" spans="6:6" x14ac:dyDescent="0.2">
      <c r="F2215" s="21"/>
    </row>
    <row r="2216" spans="6:6" x14ac:dyDescent="0.2">
      <c r="F2216" s="21"/>
    </row>
    <row r="2217" spans="6:6" x14ac:dyDescent="0.2">
      <c r="F2217" s="21"/>
    </row>
    <row r="2218" spans="6:6" x14ac:dyDescent="0.2">
      <c r="F2218" s="21"/>
    </row>
    <row r="2219" spans="6:6" x14ac:dyDescent="0.2">
      <c r="F2219" s="21"/>
    </row>
    <row r="2220" spans="6:6" x14ac:dyDescent="0.2">
      <c r="F2220" s="21"/>
    </row>
    <row r="2221" spans="6:6" x14ac:dyDescent="0.2">
      <c r="F2221" s="21"/>
    </row>
    <row r="2222" spans="6:6" x14ac:dyDescent="0.2">
      <c r="F2222" s="21"/>
    </row>
    <row r="2223" spans="6:6" x14ac:dyDescent="0.2">
      <c r="F2223" s="21"/>
    </row>
    <row r="2224" spans="6:6" x14ac:dyDescent="0.2">
      <c r="F2224" s="21"/>
    </row>
    <row r="2225" spans="6:6" x14ac:dyDescent="0.2">
      <c r="F2225" s="21"/>
    </row>
    <row r="2226" spans="6:6" x14ac:dyDescent="0.2">
      <c r="F2226" s="21"/>
    </row>
    <row r="2227" spans="6:6" x14ac:dyDescent="0.2">
      <c r="F2227" s="21"/>
    </row>
    <row r="2228" spans="6:6" x14ac:dyDescent="0.2">
      <c r="F2228" s="21"/>
    </row>
    <row r="2229" spans="6:6" x14ac:dyDescent="0.2">
      <c r="F2229" s="21"/>
    </row>
    <row r="2230" spans="6:6" x14ac:dyDescent="0.2">
      <c r="F2230" s="21"/>
    </row>
    <row r="2231" spans="6:6" x14ac:dyDescent="0.2">
      <c r="F2231" s="21"/>
    </row>
    <row r="2232" spans="6:6" x14ac:dyDescent="0.2">
      <c r="F2232" s="21"/>
    </row>
    <row r="2233" spans="6:6" x14ac:dyDescent="0.2">
      <c r="F2233" s="21"/>
    </row>
    <row r="2234" spans="6:6" x14ac:dyDescent="0.2">
      <c r="F2234" s="21"/>
    </row>
    <row r="2235" spans="6:6" x14ac:dyDescent="0.2">
      <c r="F2235" s="21"/>
    </row>
    <row r="2236" spans="6:6" x14ac:dyDescent="0.2">
      <c r="F2236" s="21"/>
    </row>
    <row r="2237" spans="6:6" x14ac:dyDescent="0.2">
      <c r="F2237" s="21"/>
    </row>
    <row r="2238" spans="6:6" x14ac:dyDescent="0.2">
      <c r="F2238" s="21"/>
    </row>
    <row r="2239" spans="6:6" x14ac:dyDescent="0.2">
      <c r="F2239" s="21"/>
    </row>
    <row r="2240" spans="6:6" x14ac:dyDescent="0.2">
      <c r="F2240" s="21"/>
    </row>
    <row r="2241" spans="6:6" x14ac:dyDescent="0.2">
      <c r="F2241" s="21"/>
    </row>
    <row r="2242" spans="6:6" x14ac:dyDescent="0.2">
      <c r="F2242" s="21"/>
    </row>
    <row r="2243" spans="6:6" x14ac:dyDescent="0.2">
      <c r="F2243" s="21"/>
    </row>
    <row r="2244" spans="6:6" x14ac:dyDescent="0.2">
      <c r="F2244" s="21"/>
    </row>
    <row r="2245" spans="6:6" x14ac:dyDescent="0.2">
      <c r="F2245" s="21"/>
    </row>
    <row r="2246" spans="6:6" x14ac:dyDescent="0.2">
      <c r="F2246" s="21"/>
    </row>
    <row r="2247" spans="6:6" x14ac:dyDescent="0.2">
      <c r="F2247" s="21"/>
    </row>
    <row r="2248" spans="6:6" x14ac:dyDescent="0.2">
      <c r="F2248" s="21"/>
    </row>
    <row r="2249" spans="6:6" x14ac:dyDescent="0.2">
      <c r="F2249" s="21"/>
    </row>
    <row r="2250" spans="6:6" x14ac:dyDescent="0.2">
      <c r="F2250" s="21"/>
    </row>
    <row r="2251" spans="6:6" x14ac:dyDescent="0.2">
      <c r="F2251" s="21"/>
    </row>
    <row r="2252" spans="6:6" x14ac:dyDescent="0.2">
      <c r="F2252" s="21"/>
    </row>
    <row r="2253" spans="6:6" x14ac:dyDescent="0.2">
      <c r="F2253" s="21"/>
    </row>
    <row r="2254" spans="6:6" x14ac:dyDescent="0.2">
      <c r="F2254" s="21"/>
    </row>
    <row r="2255" spans="6:6" x14ac:dyDescent="0.2">
      <c r="F2255" s="21"/>
    </row>
    <row r="2256" spans="6:6" x14ac:dyDescent="0.2">
      <c r="F2256" s="21"/>
    </row>
    <row r="2257" spans="6:6" x14ac:dyDescent="0.2">
      <c r="F2257" s="21"/>
    </row>
    <row r="2258" spans="6:6" x14ac:dyDescent="0.2">
      <c r="F2258" s="21"/>
    </row>
    <row r="2259" spans="6:6" x14ac:dyDescent="0.2">
      <c r="F2259" s="21"/>
    </row>
    <row r="2260" spans="6:6" x14ac:dyDescent="0.2">
      <c r="F2260" s="21"/>
    </row>
    <row r="2261" spans="6:6" x14ac:dyDescent="0.2">
      <c r="F2261" s="21"/>
    </row>
    <row r="2262" spans="6:6" x14ac:dyDescent="0.2">
      <c r="F2262" s="21"/>
    </row>
    <row r="2263" spans="6:6" x14ac:dyDescent="0.2">
      <c r="F2263" s="21"/>
    </row>
    <row r="2264" spans="6:6" x14ac:dyDescent="0.2">
      <c r="F2264" s="21"/>
    </row>
    <row r="2265" spans="6:6" x14ac:dyDescent="0.2">
      <c r="F2265" s="21"/>
    </row>
    <row r="2266" spans="6:6" x14ac:dyDescent="0.2">
      <c r="F2266" s="21"/>
    </row>
    <row r="2267" spans="6:6" x14ac:dyDescent="0.2">
      <c r="F2267" s="21"/>
    </row>
    <row r="2268" spans="6:6" x14ac:dyDescent="0.2">
      <c r="F2268" s="21"/>
    </row>
    <row r="2269" spans="6:6" x14ac:dyDescent="0.2">
      <c r="F2269" s="21"/>
    </row>
    <row r="2270" spans="6:6" x14ac:dyDescent="0.2">
      <c r="F2270" s="21"/>
    </row>
    <row r="2271" spans="6:6" x14ac:dyDescent="0.2">
      <c r="F2271" s="21"/>
    </row>
    <row r="2272" spans="6:6" x14ac:dyDescent="0.2">
      <c r="F2272" s="21"/>
    </row>
    <row r="2273" spans="6:6" x14ac:dyDescent="0.2">
      <c r="F2273" s="21"/>
    </row>
    <row r="2274" spans="6:6" x14ac:dyDescent="0.2">
      <c r="F2274" s="21"/>
    </row>
    <row r="2275" spans="6:6" x14ac:dyDescent="0.2">
      <c r="F2275" s="21"/>
    </row>
    <row r="2276" spans="6:6" x14ac:dyDescent="0.2">
      <c r="F2276" s="21"/>
    </row>
    <row r="2277" spans="6:6" x14ac:dyDescent="0.2">
      <c r="F2277" s="21"/>
    </row>
    <row r="2278" spans="6:6" x14ac:dyDescent="0.2">
      <c r="F2278" s="21"/>
    </row>
    <row r="2279" spans="6:6" x14ac:dyDescent="0.2">
      <c r="F2279" s="21"/>
    </row>
    <row r="2280" spans="6:6" x14ac:dyDescent="0.2">
      <c r="F2280" s="21"/>
    </row>
    <row r="2281" spans="6:6" x14ac:dyDescent="0.2">
      <c r="F2281" s="21"/>
    </row>
    <row r="2282" spans="6:6" x14ac:dyDescent="0.2">
      <c r="F2282" s="21"/>
    </row>
    <row r="2283" spans="6:6" x14ac:dyDescent="0.2">
      <c r="F2283" s="21"/>
    </row>
    <row r="2284" spans="6:6" x14ac:dyDescent="0.2">
      <c r="F2284" s="21"/>
    </row>
    <row r="2285" spans="6:6" x14ac:dyDescent="0.2">
      <c r="F2285" s="21"/>
    </row>
    <row r="2286" spans="6:6" x14ac:dyDescent="0.2">
      <c r="F2286" s="21"/>
    </row>
    <row r="2287" spans="6:6" x14ac:dyDescent="0.2">
      <c r="F2287" s="21"/>
    </row>
    <row r="2288" spans="6:6" x14ac:dyDescent="0.2">
      <c r="F2288" s="21"/>
    </row>
    <row r="2289" spans="6:6" x14ac:dyDescent="0.2">
      <c r="F2289" s="21"/>
    </row>
    <row r="2290" spans="6:6" x14ac:dyDescent="0.2">
      <c r="F2290" s="21"/>
    </row>
    <row r="2291" spans="6:6" x14ac:dyDescent="0.2">
      <c r="F2291" s="21"/>
    </row>
    <row r="2292" spans="6:6" x14ac:dyDescent="0.2">
      <c r="F2292" s="21"/>
    </row>
    <row r="2293" spans="6:6" x14ac:dyDescent="0.2">
      <c r="F2293" s="21"/>
    </row>
    <row r="2294" spans="6:6" x14ac:dyDescent="0.2">
      <c r="F2294" s="21"/>
    </row>
    <row r="2295" spans="6:6" x14ac:dyDescent="0.2">
      <c r="F2295" s="21"/>
    </row>
    <row r="2296" spans="6:6" x14ac:dyDescent="0.2">
      <c r="F2296" s="21"/>
    </row>
    <row r="2297" spans="6:6" x14ac:dyDescent="0.2">
      <c r="F2297" s="21"/>
    </row>
    <row r="2298" spans="6:6" x14ac:dyDescent="0.2">
      <c r="F2298" s="21"/>
    </row>
    <row r="2299" spans="6:6" x14ac:dyDescent="0.2">
      <c r="F2299" s="21"/>
    </row>
    <row r="2300" spans="6:6" x14ac:dyDescent="0.2">
      <c r="F2300" s="21"/>
    </row>
    <row r="2301" spans="6:6" x14ac:dyDescent="0.2">
      <c r="F2301" s="21"/>
    </row>
    <row r="2302" spans="6:6" x14ac:dyDescent="0.2">
      <c r="F2302" s="21"/>
    </row>
    <row r="2303" spans="6:6" x14ac:dyDescent="0.2">
      <c r="F2303" s="21"/>
    </row>
    <row r="2304" spans="6:6" x14ac:dyDescent="0.2">
      <c r="F2304" s="21"/>
    </row>
    <row r="2305" spans="6:6" x14ac:dyDescent="0.2">
      <c r="F2305" s="21"/>
    </row>
    <row r="2306" spans="6:6" x14ac:dyDescent="0.2">
      <c r="F2306" s="21"/>
    </row>
    <row r="2307" spans="6:6" x14ac:dyDescent="0.2">
      <c r="F2307" s="21"/>
    </row>
    <row r="2308" spans="6:6" x14ac:dyDescent="0.2">
      <c r="F2308" s="21"/>
    </row>
    <row r="2309" spans="6:6" x14ac:dyDescent="0.2">
      <c r="F2309" s="21"/>
    </row>
    <row r="2310" spans="6:6" x14ac:dyDescent="0.2">
      <c r="F2310" s="21"/>
    </row>
    <row r="2311" spans="6:6" x14ac:dyDescent="0.2">
      <c r="F2311" s="21"/>
    </row>
    <row r="2312" spans="6:6" x14ac:dyDescent="0.2">
      <c r="F2312" s="21"/>
    </row>
    <row r="2313" spans="6:6" x14ac:dyDescent="0.2">
      <c r="F2313" s="21"/>
    </row>
    <row r="2314" spans="6:6" x14ac:dyDescent="0.2">
      <c r="F2314" s="21"/>
    </row>
    <row r="2315" spans="6:6" x14ac:dyDescent="0.2">
      <c r="F2315" s="21"/>
    </row>
    <row r="2316" spans="6:6" x14ac:dyDescent="0.2">
      <c r="F2316" s="21"/>
    </row>
    <row r="2317" spans="6:6" x14ac:dyDescent="0.2">
      <c r="F2317" s="21"/>
    </row>
    <row r="2318" spans="6:6" x14ac:dyDescent="0.2">
      <c r="F2318" s="21"/>
    </row>
    <row r="2319" spans="6:6" x14ac:dyDescent="0.2">
      <c r="F2319" s="21"/>
    </row>
    <row r="2320" spans="6:6" x14ac:dyDescent="0.2">
      <c r="F2320" s="21"/>
    </row>
    <row r="2321" spans="6:6" x14ac:dyDescent="0.2">
      <c r="F2321" s="21"/>
    </row>
    <row r="2322" spans="6:6" x14ac:dyDescent="0.2">
      <c r="F2322" s="21"/>
    </row>
    <row r="2323" spans="6:6" x14ac:dyDescent="0.2">
      <c r="F2323" s="21"/>
    </row>
    <row r="2324" spans="6:6" x14ac:dyDescent="0.2">
      <c r="F2324" s="21"/>
    </row>
    <row r="2325" spans="6:6" x14ac:dyDescent="0.2">
      <c r="F2325" s="21"/>
    </row>
    <row r="2326" spans="6:6" x14ac:dyDescent="0.2">
      <c r="F2326" s="21"/>
    </row>
    <row r="2327" spans="6:6" x14ac:dyDescent="0.2">
      <c r="F2327" s="21"/>
    </row>
    <row r="2328" spans="6:6" x14ac:dyDescent="0.2">
      <c r="F2328" s="21"/>
    </row>
    <row r="2329" spans="6:6" x14ac:dyDescent="0.2">
      <c r="F2329" s="21"/>
    </row>
    <row r="2330" spans="6:6" x14ac:dyDescent="0.2">
      <c r="F2330" s="21"/>
    </row>
    <row r="2331" spans="6:6" x14ac:dyDescent="0.2">
      <c r="F2331" s="21"/>
    </row>
    <row r="2332" spans="6:6" x14ac:dyDescent="0.2">
      <c r="F2332" s="21"/>
    </row>
    <row r="2333" spans="6:6" x14ac:dyDescent="0.2">
      <c r="F2333" s="21"/>
    </row>
    <row r="2334" spans="6:6" x14ac:dyDescent="0.2">
      <c r="F2334" s="21"/>
    </row>
    <row r="2335" spans="6:6" x14ac:dyDescent="0.2">
      <c r="F2335" s="21"/>
    </row>
    <row r="2336" spans="6:6" x14ac:dyDescent="0.2">
      <c r="F2336" s="21"/>
    </row>
    <row r="2337" spans="6:6" x14ac:dyDescent="0.2">
      <c r="F2337" s="21"/>
    </row>
    <row r="2338" spans="6:6" x14ac:dyDescent="0.2">
      <c r="F2338" s="21"/>
    </row>
    <row r="2339" spans="6:6" x14ac:dyDescent="0.2">
      <c r="F2339" s="21"/>
    </row>
    <row r="2340" spans="6:6" x14ac:dyDescent="0.2">
      <c r="F2340" s="21"/>
    </row>
    <row r="2341" spans="6:6" x14ac:dyDescent="0.2">
      <c r="F2341" s="21"/>
    </row>
    <row r="2342" spans="6:6" x14ac:dyDescent="0.2">
      <c r="F2342" s="21"/>
    </row>
    <row r="2343" spans="6:6" x14ac:dyDescent="0.2">
      <c r="F2343" s="21"/>
    </row>
    <row r="2344" spans="6:6" x14ac:dyDescent="0.2">
      <c r="F2344" s="21"/>
    </row>
    <row r="2345" spans="6:6" x14ac:dyDescent="0.2">
      <c r="F2345" s="21"/>
    </row>
    <row r="2346" spans="6:6" x14ac:dyDescent="0.2">
      <c r="F2346" s="21"/>
    </row>
    <row r="2347" spans="6:6" x14ac:dyDescent="0.2">
      <c r="F2347" s="21"/>
    </row>
    <row r="2348" spans="6:6" x14ac:dyDescent="0.2">
      <c r="F2348" s="21"/>
    </row>
    <row r="2349" spans="6:6" x14ac:dyDescent="0.2">
      <c r="F2349" s="21"/>
    </row>
    <row r="2350" spans="6:6" x14ac:dyDescent="0.2">
      <c r="F2350" s="21"/>
    </row>
    <row r="2351" spans="6:6" x14ac:dyDescent="0.2">
      <c r="F2351" s="21"/>
    </row>
    <row r="2352" spans="6:6" x14ac:dyDescent="0.2">
      <c r="F2352" s="21"/>
    </row>
    <row r="2353" spans="6:6" x14ac:dyDescent="0.2">
      <c r="F2353" s="21"/>
    </row>
    <row r="2354" spans="6:6" x14ac:dyDescent="0.2">
      <c r="F2354" s="21"/>
    </row>
    <row r="2355" spans="6:6" x14ac:dyDescent="0.2">
      <c r="F2355" s="21"/>
    </row>
    <row r="2356" spans="6:6" x14ac:dyDescent="0.2">
      <c r="F2356" s="21"/>
    </row>
    <row r="2357" spans="6:6" x14ac:dyDescent="0.2">
      <c r="F2357" s="21"/>
    </row>
    <row r="2358" spans="6:6" x14ac:dyDescent="0.2">
      <c r="F2358" s="21"/>
    </row>
    <row r="2359" spans="6:6" x14ac:dyDescent="0.2">
      <c r="F2359" s="21"/>
    </row>
    <row r="2360" spans="6:6" x14ac:dyDescent="0.2">
      <c r="F2360" s="21"/>
    </row>
    <row r="2361" spans="6:6" x14ac:dyDescent="0.2">
      <c r="F2361" s="21"/>
    </row>
    <row r="2362" spans="6:6" x14ac:dyDescent="0.2">
      <c r="F2362" s="21"/>
    </row>
    <row r="2363" spans="6:6" x14ac:dyDescent="0.2">
      <c r="F2363" s="21"/>
    </row>
    <row r="2364" spans="6:6" x14ac:dyDescent="0.2">
      <c r="F2364" s="21"/>
    </row>
    <row r="2365" spans="6:6" x14ac:dyDescent="0.2">
      <c r="F2365" s="21"/>
    </row>
    <row r="2366" spans="6:6" x14ac:dyDescent="0.2">
      <c r="F2366" s="21"/>
    </row>
    <row r="2367" spans="6:6" x14ac:dyDescent="0.2">
      <c r="F2367" s="21"/>
    </row>
    <row r="2368" spans="6:6" x14ac:dyDescent="0.2">
      <c r="F2368" s="21"/>
    </row>
    <row r="2369" spans="6:6" x14ac:dyDescent="0.2">
      <c r="F2369" s="21"/>
    </row>
    <row r="2370" spans="6:6" x14ac:dyDescent="0.2">
      <c r="F2370" s="21"/>
    </row>
    <row r="2371" spans="6:6" x14ac:dyDescent="0.2">
      <c r="F2371" s="21"/>
    </row>
    <row r="2372" spans="6:6" x14ac:dyDescent="0.2">
      <c r="F2372" s="21"/>
    </row>
    <row r="2373" spans="6:6" x14ac:dyDescent="0.2">
      <c r="F2373" s="21"/>
    </row>
    <row r="2374" spans="6:6" x14ac:dyDescent="0.2">
      <c r="F2374" s="21"/>
    </row>
    <row r="2375" spans="6:6" x14ac:dyDescent="0.2">
      <c r="F2375" s="21"/>
    </row>
    <row r="2376" spans="6:6" x14ac:dyDescent="0.2">
      <c r="F2376" s="21"/>
    </row>
    <row r="2377" spans="6:6" x14ac:dyDescent="0.2">
      <c r="F2377" s="21"/>
    </row>
    <row r="2378" spans="6:6" x14ac:dyDescent="0.2">
      <c r="F2378" s="21"/>
    </row>
    <row r="2379" spans="6:6" x14ac:dyDescent="0.2">
      <c r="F2379" s="21"/>
    </row>
    <row r="2380" spans="6:6" x14ac:dyDescent="0.2">
      <c r="F2380" s="21"/>
    </row>
    <row r="2381" spans="6:6" x14ac:dyDescent="0.2">
      <c r="F2381" s="21"/>
    </row>
    <row r="2382" spans="6:6" x14ac:dyDescent="0.2">
      <c r="F2382" s="21"/>
    </row>
    <row r="2383" spans="6:6" x14ac:dyDescent="0.2">
      <c r="F2383" s="21"/>
    </row>
    <row r="2384" spans="6:6" x14ac:dyDescent="0.2">
      <c r="F2384" s="21"/>
    </row>
    <row r="2385" spans="6:6" x14ac:dyDescent="0.2">
      <c r="F2385" s="21"/>
    </row>
    <row r="2386" spans="6:6" x14ac:dyDescent="0.2">
      <c r="F2386" s="21"/>
    </row>
    <row r="2387" spans="6:6" x14ac:dyDescent="0.2">
      <c r="F2387" s="21"/>
    </row>
    <row r="2388" spans="6:6" x14ac:dyDescent="0.2">
      <c r="F2388" s="21"/>
    </row>
    <row r="2389" spans="6:6" x14ac:dyDescent="0.2">
      <c r="F2389" s="21"/>
    </row>
    <row r="2390" spans="6:6" x14ac:dyDescent="0.2">
      <c r="F2390" s="21"/>
    </row>
    <row r="2391" spans="6:6" x14ac:dyDescent="0.2">
      <c r="F2391" s="21"/>
    </row>
    <row r="2392" spans="6:6" x14ac:dyDescent="0.2">
      <c r="F2392" s="21"/>
    </row>
    <row r="2393" spans="6:6" x14ac:dyDescent="0.2">
      <c r="F2393" s="21"/>
    </row>
    <row r="2394" spans="6:6" x14ac:dyDescent="0.2">
      <c r="F2394" s="21"/>
    </row>
    <row r="2395" spans="6:6" x14ac:dyDescent="0.2">
      <c r="F2395" s="21"/>
    </row>
    <row r="2396" spans="6:6" x14ac:dyDescent="0.2">
      <c r="F2396" s="21"/>
    </row>
    <row r="2397" spans="6:6" x14ac:dyDescent="0.2">
      <c r="F2397" s="21"/>
    </row>
    <row r="2398" spans="6:6" x14ac:dyDescent="0.2">
      <c r="F2398" s="21"/>
    </row>
    <row r="2399" spans="6:6" x14ac:dyDescent="0.2">
      <c r="F2399" s="21"/>
    </row>
    <row r="2400" spans="6:6" x14ac:dyDescent="0.2">
      <c r="F2400" s="21"/>
    </row>
    <row r="2401" spans="6:6" x14ac:dyDescent="0.2">
      <c r="F2401" s="21"/>
    </row>
    <row r="2402" spans="6:6" x14ac:dyDescent="0.2">
      <c r="F2402" s="21"/>
    </row>
    <row r="2403" spans="6:6" x14ac:dyDescent="0.2">
      <c r="F2403" s="21"/>
    </row>
    <row r="2404" spans="6:6" x14ac:dyDescent="0.2">
      <c r="F2404" s="21"/>
    </row>
    <row r="2405" spans="6:6" x14ac:dyDescent="0.2">
      <c r="F2405" s="21"/>
    </row>
    <row r="2406" spans="6:6" x14ac:dyDescent="0.2">
      <c r="F2406" s="21"/>
    </row>
    <row r="2407" spans="6:6" x14ac:dyDescent="0.2">
      <c r="F2407" s="21"/>
    </row>
    <row r="2408" spans="6:6" x14ac:dyDescent="0.2">
      <c r="F2408" s="21"/>
    </row>
    <row r="2409" spans="6:6" x14ac:dyDescent="0.2">
      <c r="F2409" s="21"/>
    </row>
    <row r="2410" spans="6:6" x14ac:dyDescent="0.2">
      <c r="F2410" s="21"/>
    </row>
    <row r="2411" spans="6:6" x14ac:dyDescent="0.2">
      <c r="F2411" s="21"/>
    </row>
    <row r="2412" spans="6:6" x14ac:dyDescent="0.2">
      <c r="F2412" s="21"/>
    </row>
    <row r="2413" spans="6:6" x14ac:dyDescent="0.2">
      <c r="F2413" s="21"/>
    </row>
    <row r="2414" spans="6:6" x14ac:dyDescent="0.2">
      <c r="F2414" s="21"/>
    </row>
    <row r="2415" spans="6:6" x14ac:dyDescent="0.2">
      <c r="F2415" s="21"/>
    </row>
    <row r="2416" spans="6:6" x14ac:dyDescent="0.2">
      <c r="F2416" s="21"/>
    </row>
    <row r="2417" spans="6:6" x14ac:dyDescent="0.2">
      <c r="F2417" s="21"/>
    </row>
    <row r="2418" spans="6:6" x14ac:dyDescent="0.2">
      <c r="F2418" s="21"/>
    </row>
    <row r="2419" spans="6:6" x14ac:dyDescent="0.2">
      <c r="F2419" s="21"/>
    </row>
    <row r="2420" spans="6:6" x14ac:dyDescent="0.2">
      <c r="F2420" s="21"/>
    </row>
    <row r="2421" spans="6:6" x14ac:dyDescent="0.2">
      <c r="F2421" s="21"/>
    </row>
    <row r="2422" spans="6:6" x14ac:dyDescent="0.2">
      <c r="F2422" s="21"/>
    </row>
    <row r="2423" spans="6:6" x14ac:dyDescent="0.2">
      <c r="F2423" s="21"/>
    </row>
    <row r="2424" spans="6:6" x14ac:dyDescent="0.2">
      <c r="F2424" s="21"/>
    </row>
    <row r="2425" spans="6:6" x14ac:dyDescent="0.2">
      <c r="F2425" s="21"/>
    </row>
    <row r="2426" spans="6:6" x14ac:dyDescent="0.2">
      <c r="F2426" s="21"/>
    </row>
    <row r="2427" spans="6:6" x14ac:dyDescent="0.2">
      <c r="F2427" s="21"/>
    </row>
    <row r="2428" spans="6:6" x14ac:dyDescent="0.2">
      <c r="F2428" s="21"/>
    </row>
    <row r="2429" spans="6:6" x14ac:dyDescent="0.2">
      <c r="F2429" s="21"/>
    </row>
    <row r="2430" spans="6:6" x14ac:dyDescent="0.2">
      <c r="F2430" s="21"/>
    </row>
    <row r="2431" spans="6:6" x14ac:dyDescent="0.2">
      <c r="F2431" s="21"/>
    </row>
    <row r="2432" spans="6:6" x14ac:dyDescent="0.2">
      <c r="F2432" s="21"/>
    </row>
    <row r="2433" spans="6:6" x14ac:dyDescent="0.2">
      <c r="F2433" s="21"/>
    </row>
    <row r="2434" spans="6:6" x14ac:dyDescent="0.2">
      <c r="F2434" s="21"/>
    </row>
    <row r="2435" spans="6:6" x14ac:dyDescent="0.2">
      <c r="F2435" s="21"/>
    </row>
    <row r="2436" spans="6:6" x14ac:dyDescent="0.2">
      <c r="F2436" s="21"/>
    </row>
    <row r="2437" spans="6:6" x14ac:dyDescent="0.2">
      <c r="F2437" s="21"/>
    </row>
    <row r="2438" spans="6:6" x14ac:dyDescent="0.2">
      <c r="F2438" s="21"/>
    </row>
    <row r="2439" spans="6:6" x14ac:dyDescent="0.2">
      <c r="F2439" s="21"/>
    </row>
    <row r="2440" spans="6:6" x14ac:dyDescent="0.2">
      <c r="F2440" s="21"/>
    </row>
    <row r="2441" spans="6:6" x14ac:dyDescent="0.2">
      <c r="F2441" s="21"/>
    </row>
    <row r="2442" spans="6:6" x14ac:dyDescent="0.2">
      <c r="F2442" s="21"/>
    </row>
    <row r="2443" spans="6:6" x14ac:dyDescent="0.2">
      <c r="F2443" s="21"/>
    </row>
    <row r="2444" spans="6:6" x14ac:dyDescent="0.2">
      <c r="F2444" s="21"/>
    </row>
    <row r="2445" spans="6:6" x14ac:dyDescent="0.2">
      <c r="F2445" s="21"/>
    </row>
    <row r="2446" spans="6:6" x14ac:dyDescent="0.2">
      <c r="F2446" s="21"/>
    </row>
    <row r="2447" spans="6:6" x14ac:dyDescent="0.2">
      <c r="F2447" s="21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815A1B3-CB6D-F842-A2AF-F8EF760FE7E2}">
          <x14:formula1>
            <xm:f>LISTAS!$D$1:$D$3</xm:f>
          </x14:formula1>
          <xm:sqref>L2:L1800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C39"/>
  <sheetViews>
    <sheetView workbookViewId="0">
      <selection activeCell="F38" sqref="F38"/>
    </sheetView>
  </sheetViews>
  <sheetFormatPr baseColWidth="10" defaultColWidth="8.83203125" defaultRowHeight="15" x14ac:dyDescent="0.2"/>
  <cols>
    <col min="1" max="1" width="40.6640625" bestFit="1" customWidth="1"/>
    <col min="2" max="2" width="10.6640625" bestFit="1" customWidth="1"/>
    <col min="3" max="3" width="13.33203125" bestFit="1" customWidth="1"/>
  </cols>
  <sheetData>
    <row r="1" spans="1:3" ht="19" customHeight="1" x14ac:dyDescent="0.25">
      <c r="A1" s="1" t="s">
        <v>109</v>
      </c>
    </row>
    <row r="4" spans="1:3" ht="16" customHeight="1" x14ac:dyDescent="0.2">
      <c r="A4" s="2" t="s">
        <v>110</v>
      </c>
    </row>
    <row r="5" spans="1:3" x14ac:dyDescent="0.2">
      <c r="A5" s="5" t="s">
        <v>111</v>
      </c>
      <c r="B5" s="5" t="s">
        <v>63</v>
      </c>
      <c r="C5" s="5" t="s">
        <v>112</v>
      </c>
    </row>
    <row r="6" spans="1:3" x14ac:dyDescent="0.2">
      <c r="A6" s="4" t="s">
        <v>113</v>
      </c>
      <c r="B6" s="4"/>
      <c r="C6" s="4">
        <v>3</v>
      </c>
    </row>
    <row r="7" spans="1:3" x14ac:dyDescent="0.2">
      <c r="A7" s="4" t="s">
        <v>114</v>
      </c>
      <c r="B7" s="4"/>
      <c r="C7" s="4">
        <v>3</v>
      </c>
    </row>
    <row r="8" spans="1:3" x14ac:dyDescent="0.2">
      <c r="A8" s="4" t="s">
        <v>75</v>
      </c>
      <c r="B8" s="4"/>
      <c r="C8" s="4">
        <v>3</v>
      </c>
    </row>
    <row r="9" spans="1:3" x14ac:dyDescent="0.2">
      <c r="A9" s="4" t="s">
        <v>115</v>
      </c>
      <c r="B9" s="4"/>
      <c r="C9" s="4">
        <v>3</v>
      </c>
    </row>
    <row r="10" spans="1:3" x14ac:dyDescent="0.2">
      <c r="A10" s="4" t="s">
        <v>116</v>
      </c>
      <c r="B10" s="4"/>
      <c r="C10" s="4">
        <v>3</v>
      </c>
    </row>
    <row r="12" spans="1:3" ht="16" customHeight="1" x14ac:dyDescent="0.2">
      <c r="A12" s="2" t="s">
        <v>117</v>
      </c>
    </row>
    <row r="13" spans="1:3" x14ac:dyDescent="0.2">
      <c r="A13" s="5" t="s">
        <v>111</v>
      </c>
      <c r="B13" s="5" t="s">
        <v>63</v>
      </c>
      <c r="C13" s="5" t="s">
        <v>112</v>
      </c>
    </row>
    <row r="14" spans="1:3" x14ac:dyDescent="0.2">
      <c r="A14" s="4" t="s">
        <v>118</v>
      </c>
      <c r="B14" s="4"/>
      <c r="C14" s="4">
        <v>4</v>
      </c>
    </row>
    <row r="15" spans="1:3" x14ac:dyDescent="0.2">
      <c r="A15" s="4" t="s">
        <v>119</v>
      </c>
      <c r="B15" s="4"/>
      <c r="C15" s="4">
        <v>3</v>
      </c>
    </row>
    <row r="16" spans="1:3" x14ac:dyDescent="0.2">
      <c r="A16" s="4" t="s">
        <v>120</v>
      </c>
      <c r="B16" s="4"/>
      <c r="C16" s="4">
        <v>3</v>
      </c>
    </row>
    <row r="17" spans="1:3" x14ac:dyDescent="0.2">
      <c r="A17" s="4" t="s">
        <v>121</v>
      </c>
      <c r="B17" s="4"/>
      <c r="C17" s="4">
        <v>4</v>
      </c>
    </row>
    <row r="18" spans="1:3" x14ac:dyDescent="0.2">
      <c r="A18" s="4" t="s">
        <v>65</v>
      </c>
      <c r="B18" s="4"/>
      <c r="C18" s="4">
        <v>4</v>
      </c>
    </row>
    <row r="20" spans="1:3" ht="16" customHeight="1" x14ac:dyDescent="0.2">
      <c r="A20" s="2" t="s">
        <v>122</v>
      </c>
    </row>
    <row r="21" spans="1:3" x14ac:dyDescent="0.2">
      <c r="A21" s="5" t="s">
        <v>111</v>
      </c>
      <c r="B21" s="5" t="s">
        <v>63</v>
      </c>
      <c r="C21" s="5" t="s">
        <v>112</v>
      </c>
    </row>
    <row r="22" spans="1:3" x14ac:dyDescent="0.2">
      <c r="A22" s="4" t="s">
        <v>123</v>
      </c>
      <c r="B22" s="4"/>
      <c r="C22" s="4">
        <v>3</v>
      </c>
    </row>
    <row r="23" spans="1:3" x14ac:dyDescent="0.2">
      <c r="A23" s="4" t="s">
        <v>124</v>
      </c>
      <c r="B23" s="4"/>
      <c r="C23" s="4">
        <v>4</v>
      </c>
    </row>
    <row r="24" spans="1:3" x14ac:dyDescent="0.2">
      <c r="A24" s="4" t="s">
        <v>125</v>
      </c>
      <c r="B24" s="4"/>
      <c r="C24" s="4">
        <v>3</v>
      </c>
    </row>
    <row r="25" spans="1:3" x14ac:dyDescent="0.2">
      <c r="A25" s="4" t="s">
        <v>126</v>
      </c>
      <c r="B25" s="4"/>
      <c r="C25" s="4">
        <v>4</v>
      </c>
    </row>
    <row r="27" spans="1:3" ht="16" customHeight="1" x14ac:dyDescent="0.2">
      <c r="A27" s="2" t="s">
        <v>127</v>
      </c>
    </row>
    <row r="28" spans="1:3" x14ac:dyDescent="0.2">
      <c r="A28" s="5" t="s">
        <v>111</v>
      </c>
      <c r="B28" s="5" t="s">
        <v>63</v>
      </c>
      <c r="C28" s="5" t="s">
        <v>112</v>
      </c>
    </row>
    <row r="29" spans="1:3" x14ac:dyDescent="0.2">
      <c r="A29" s="4" t="s">
        <v>128</v>
      </c>
      <c r="B29" s="4"/>
      <c r="C29" s="4">
        <v>3</v>
      </c>
    </row>
    <row r="30" spans="1:3" x14ac:dyDescent="0.2">
      <c r="A30" s="4" t="s">
        <v>129</v>
      </c>
      <c r="B30" s="4"/>
      <c r="C30" s="4">
        <v>2</v>
      </c>
    </row>
    <row r="31" spans="1:3" x14ac:dyDescent="0.2">
      <c r="A31" s="4" t="s">
        <v>130</v>
      </c>
      <c r="B31" s="4"/>
      <c r="C31" s="4">
        <v>1</v>
      </c>
    </row>
    <row r="32" spans="1:3" x14ac:dyDescent="0.2">
      <c r="A32" s="4" t="s">
        <v>131</v>
      </c>
      <c r="B32" s="4"/>
      <c r="C32" s="4">
        <v>3</v>
      </c>
    </row>
    <row r="34" spans="1:3" ht="16" customHeight="1" x14ac:dyDescent="0.2">
      <c r="A34" s="2" t="s">
        <v>132</v>
      </c>
    </row>
    <row r="35" spans="1:3" x14ac:dyDescent="0.2">
      <c r="A35" s="5" t="s">
        <v>111</v>
      </c>
      <c r="B35" s="5" t="s">
        <v>63</v>
      </c>
      <c r="C35" s="5" t="s">
        <v>112</v>
      </c>
    </row>
    <row r="36" spans="1:3" x14ac:dyDescent="0.2">
      <c r="A36" s="4" t="s">
        <v>128</v>
      </c>
      <c r="B36" s="4"/>
      <c r="C36" s="4">
        <v>3</v>
      </c>
    </row>
    <row r="37" spans="1:3" x14ac:dyDescent="0.2">
      <c r="A37" s="4" t="s">
        <v>129</v>
      </c>
      <c r="B37" s="4"/>
      <c r="C37" s="4">
        <v>3</v>
      </c>
    </row>
    <row r="38" spans="1:3" x14ac:dyDescent="0.2">
      <c r="A38" s="4" t="s">
        <v>130</v>
      </c>
      <c r="B38" s="4"/>
      <c r="C38" s="4">
        <v>3</v>
      </c>
    </row>
    <row r="39" spans="1:3" x14ac:dyDescent="0.2">
      <c r="A39" s="4" t="s">
        <v>133</v>
      </c>
      <c r="B39" s="4"/>
      <c r="C39" s="4">
        <v>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/>
  <dimension ref="A1:C23"/>
  <sheetViews>
    <sheetView workbookViewId="0">
      <selection activeCell="C13" sqref="C13"/>
    </sheetView>
  </sheetViews>
  <sheetFormatPr baseColWidth="10" defaultColWidth="8.83203125" defaultRowHeight="15" x14ac:dyDescent="0.2"/>
  <cols>
    <col min="1" max="1" width="30.83203125" bestFit="1" customWidth="1"/>
    <col min="3" max="3" width="11.83203125" bestFit="1" customWidth="1"/>
    <col min="14" max="14" width="11.83203125" bestFit="1" customWidth="1"/>
  </cols>
  <sheetData>
    <row r="1" spans="1:2" ht="19" customHeight="1" x14ac:dyDescent="0.25">
      <c r="A1" s="1" t="s">
        <v>134</v>
      </c>
    </row>
    <row r="3" spans="1:2" x14ac:dyDescent="0.2">
      <c r="A3" s="5" t="s">
        <v>135</v>
      </c>
      <c r="B3" s="5" t="s">
        <v>136</v>
      </c>
    </row>
    <row r="4" spans="1:2" x14ac:dyDescent="0.2">
      <c r="A4" t="s">
        <v>110</v>
      </c>
      <c r="B4">
        <f>AVERAGE(SISTEMA_COACH!$C$6:$C$10)</f>
        <v>3</v>
      </c>
    </row>
    <row r="5" spans="1:2" x14ac:dyDescent="0.2">
      <c r="A5" t="s">
        <v>117</v>
      </c>
      <c r="B5">
        <v>4</v>
      </c>
    </row>
    <row r="6" spans="1:2" x14ac:dyDescent="0.2">
      <c r="A6" t="s">
        <v>122</v>
      </c>
      <c r="B6">
        <v>4</v>
      </c>
    </row>
    <row r="7" spans="1:2" x14ac:dyDescent="0.2">
      <c r="A7" t="s">
        <v>137</v>
      </c>
      <c r="B7">
        <f>AVERAGE(SISTEMA_COACH!$C$32:$C$35)</f>
        <v>3</v>
      </c>
    </row>
    <row r="8" spans="1:2" x14ac:dyDescent="0.2">
      <c r="A8" t="s">
        <v>138</v>
      </c>
      <c r="B8">
        <f>AVERAGE(SISTEMA_COACH!C36:C39)</f>
        <v>3</v>
      </c>
    </row>
    <row r="18" spans="3:3" ht="16" customHeight="1" thickBot="1" x14ac:dyDescent="0.25"/>
    <row r="19" spans="3:3" x14ac:dyDescent="0.2">
      <c r="C19" s="11" t="s">
        <v>139</v>
      </c>
    </row>
    <row r="20" spans="3:3" x14ac:dyDescent="0.2">
      <c r="C20" s="12" t="s">
        <v>140</v>
      </c>
    </row>
    <row r="21" spans="3:3" x14ac:dyDescent="0.2">
      <c r="C21" s="12" t="s">
        <v>141</v>
      </c>
    </row>
    <row r="22" spans="3:3" x14ac:dyDescent="0.2">
      <c r="C22" s="12" t="s">
        <v>142</v>
      </c>
    </row>
    <row r="23" spans="3:3" ht="16" customHeight="1" thickBot="1" x14ac:dyDescent="0.25">
      <c r="C23" s="13" t="s">
        <v>143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Volcar_Ficha_a_BD_EVENTOS">
                <anchor moveWithCells="1" sizeWithCells="1">
                  <from>
                    <xdr:col>0</xdr:col>
                    <xdr:colOff>800100</xdr:colOff>
                    <xdr:row>11</xdr:row>
                    <xdr:rowOff>88900</xdr:rowOff>
                  </from>
                  <to>
                    <xdr:col>0</xdr:col>
                    <xdr:colOff>2324100</xdr:colOff>
                    <xdr:row>13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1:B9"/>
  <sheetViews>
    <sheetView workbookViewId="0">
      <selection activeCell="B9" sqref="B9"/>
    </sheetView>
  </sheetViews>
  <sheetFormatPr baseColWidth="10" defaultColWidth="8.83203125" defaultRowHeight="15" x14ac:dyDescent="0.2"/>
  <cols>
    <col min="1" max="1" width="35.83203125" bestFit="1" customWidth="1"/>
  </cols>
  <sheetData>
    <row r="1" spans="1:2" ht="19" customHeight="1" x14ac:dyDescent="0.25">
      <c r="A1" s="1" t="s">
        <v>144</v>
      </c>
    </row>
    <row r="3" spans="1:2" x14ac:dyDescent="0.2">
      <c r="A3" s="8" t="s">
        <v>3</v>
      </c>
      <c r="B3" s="8" t="s">
        <v>4</v>
      </c>
    </row>
    <row r="4" spans="1:2" x14ac:dyDescent="0.2">
      <c r="A4" t="s">
        <v>145</v>
      </c>
      <c r="B4">
        <f>GETPIVOTDATA("MINUTO",CALCULOS!$A$63,"EVENTO","Tiro")</f>
        <v>20</v>
      </c>
    </row>
    <row r="5" spans="1:2" x14ac:dyDescent="0.2">
      <c r="A5" t="s">
        <v>10</v>
      </c>
      <c r="B5">
        <f>GETPIVOTDATA("MINUTO",CALCULOS!$J$47,"REsultadoAccion","AP")</f>
        <v>18</v>
      </c>
    </row>
    <row r="6" spans="1:2" x14ac:dyDescent="0.2">
      <c r="A6" t="s">
        <v>121</v>
      </c>
      <c r="B6">
        <f>GETPIVOTDATA("MINUTO",CALCULOS!$A$63,"EVENTO","Duelo")+GETPIVOTDATA("MINUTO",CALCULOS!$A$63,"EVENTO","Duelo aéreo")+GETPIVOTDATA("MINUTO",CALCULOS!$A$63,"EVENTO","Entrada")+GETPIVOTDATA("MINUTO",CALCULOS!$A$63,"EVENTO","Intercepción")+GETPIVOTDATA("MINUTO",CALCULOS!$A$63,"EVENTO","Entrada")+GETPIVOTDATA("MINUTO",CALCULOS!$A$63,"EVENTO","Recuperación alta")+GETPIVOTDATA("MINUTO",CALCULOS!$A$63,"EVENTO","Pérdida F")+GETPIVOTDATA("MINUTO",CALCULOS!$A$63,"EVENTO","Pérdida NF")</f>
        <v>224</v>
      </c>
    </row>
    <row r="7" spans="1:2" x14ac:dyDescent="0.2">
      <c r="A7" t="s">
        <v>11</v>
      </c>
      <c r="B7">
        <f>GETPIVOTDATA("MINUTO",CALCULOS!$A$63,"EVENTO","Duelo","REsultadoAccion","Ganado")+GETPIVOTDATA("MINUTO",CALCULOS!$A$63,"EVENTO","Duelo aéreo","REsultadoAccion","OK")+GETPIVOTDATA("MINUTO",CALCULOS!$A$63,"EVENTO","Duelo aéreo","REsultadoAccion","Ganado")+GETPIVOTDATA("MINUTO",CALCULOS!$A$63,"EVENTO","Entrada","REsultadoAccion","Ganado")+GETPIVOTDATA("MINUTO",CALCULOS!$A$63,"EVENTO","Entrada","REsultadoAccion","OK")+GETPIVOTDATA("MINUTO",CALCULOS!$A$63,"EVENTO","Intercepción","REsultadoAccion","Ganado")+GETPIVOTDATA("MINUTO",CALCULOS!$A$63,"EVENTO","Intercepción","REsultadoAccion","OK")+GETPIVOTDATA("MINUTO",CALCULOS!$A$63,"EVENTO","Recuperación alta","REsultadoAccion","Ganado")+GETPIVOTDATA("MINUTO",CALCULOS!$A$63,"EVENTO","Regate","REsultadoAccion","Ganado")</f>
        <v>160</v>
      </c>
    </row>
    <row r="8" spans="1:2" x14ac:dyDescent="0.2">
      <c r="A8" t="s">
        <v>15</v>
      </c>
      <c r="B8" s="10">
        <f>IFERROR(B7/B6,0)</f>
        <v>0.7142857142857143</v>
      </c>
    </row>
    <row r="9" spans="1:2" x14ac:dyDescent="0.2">
      <c r="A9" t="s">
        <v>41</v>
      </c>
      <c r="B9">
        <f>GETPIVOTDATA("MINUTO",CALCULOS!$A$63,"EVENTO","Pérdida NF")</f>
        <v>4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B29"/>
  <sheetViews>
    <sheetView workbookViewId="0"/>
  </sheetViews>
  <sheetFormatPr baseColWidth="10" defaultColWidth="8.83203125" defaultRowHeight="15" x14ac:dyDescent="0.2"/>
  <cols>
    <col min="1" max="1" width="29.83203125" bestFit="1" customWidth="1"/>
    <col min="2" max="2" width="10.6640625" bestFit="1" customWidth="1"/>
  </cols>
  <sheetData>
    <row r="1" spans="1:2" ht="19" customHeight="1" x14ac:dyDescent="0.25">
      <c r="A1" s="1" t="s">
        <v>146</v>
      </c>
    </row>
    <row r="4" spans="1:2" ht="16" customHeight="1" x14ac:dyDescent="0.2">
      <c r="A4" s="2" t="s">
        <v>147</v>
      </c>
    </row>
    <row r="5" spans="1:2" x14ac:dyDescent="0.2">
      <c r="A5" s="3" t="s">
        <v>111</v>
      </c>
      <c r="B5" s="3" t="s">
        <v>63</v>
      </c>
    </row>
    <row r="6" spans="1:2" x14ac:dyDescent="0.2">
      <c r="A6" s="4" t="s">
        <v>148</v>
      </c>
      <c r="B6" s="4"/>
    </row>
    <row r="7" spans="1:2" x14ac:dyDescent="0.2">
      <c r="A7" s="4" t="s">
        <v>149</v>
      </c>
      <c r="B7" s="4"/>
    </row>
    <row r="8" spans="1:2" x14ac:dyDescent="0.2">
      <c r="A8" s="4" t="s">
        <v>150</v>
      </c>
      <c r="B8" s="4"/>
    </row>
    <row r="9" spans="1:2" x14ac:dyDescent="0.2">
      <c r="A9" s="4" t="s">
        <v>151</v>
      </c>
      <c r="B9" s="4"/>
    </row>
    <row r="11" spans="1:2" ht="16" customHeight="1" x14ac:dyDescent="0.2">
      <c r="A11" s="2" t="s">
        <v>152</v>
      </c>
    </row>
    <row r="12" spans="1:2" x14ac:dyDescent="0.2">
      <c r="A12" s="3" t="s">
        <v>111</v>
      </c>
      <c r="B12" s="3" t="s">
        <v>63</v>
      </c>
    </row>
    <row r="13" spans="1:2" x14ac:dyDescent="0.2">
      <c r="A13" s="4" t="s">
        <v>153</v>
      </c>
      <c r="B13" s="4"/>
    </row>
    <row r="14" spans="1:2" x14ac:dyDescent="0.2">
      <c r="A14" s="4" t="s">
        <v>154</v>
      </c>
      <c r="B14" s="4"/>
    </row>
    <row r="15" spans="1:2" x14ac:dyDescent="0.2">
      <c r="A15" s="4" t="s">
        <v>155</v>
      </c>
      <c r="B15" s="4"/>
    </row>
    <row r="16" spans="1:2" x14ac:dyDescent="0.2">
      <c r="A16" s="4" t="s">
        <v>156</v>
      </c>
      <c r="B16" s="4"/>
    </row>
    <row r="18" spans="1:2" ht="16" customHeight="1" x14ac:dyDescent="0.2">
      <c r="A18" s="2" t="s">
        <v>129</v>
      </c>
    </row>
    <row r="19" spans="1:2" x14ac:dyDescent="0.2">
      <c r="A19" s="3" t="s">
        <v>111</v>
      </c>
      <c r="B19" s="3" t="s">
        <v>63</v>
      </c>
    </row>
    <row r="20" spans="1:2" x14ac:dyDescent="0.2">
      <c r="A20" s="4" t="s">
        <v>157</v>
      </c>
      <c r="B20" s="4"/>
    </row>
    <row r="21" spans="1:2" x14ac:dyDescent="0.2">
      <c r="A21" s="4" t="s">
        <v>158</v>
      </c>
      <c r="B21" s="4"/>
    </row>
    <row r="22" spans="1:2" x14ac:dyDescent="0.2">
      <c r="A22" s="4" t="s">
        <v>115</v>
      </c>
      <c r="B22" s="4"/>
    </row>
    <row r="23" spans="1:2" x14ac:dyDescent="0.2">
      <c r="A23" s="4" t="s">
        <v>159</v>
      </c>
      <c r="B23" s="4"/>
    </row>
    <row r="25" spans="1:2" ht="16" customHeight="1" x14ac:dyDescent="0.2">
      <c r="A25" s="2" t="s">
        <v>130</v>
      </c>
    </row>
    <row r="26" spans="1:2" x14ac:dyDescent="0.2">
      <c r="A26" s="3" t="s">
        <v>111</v>
      </c>
      <c r="B26" s="3" t="s">
        <v>63</v>
      </c>
    </row>
    <row r="27" spans="1:2" x14ac:dyDescent="0.2">
      <c r="A27" s="4" t="s">
        <v>160</v>
      </c>
      <c r="B27" s="4"/>
    </row>
    <row r="28" spans="1:2" x14ac:dyDescent="0.2">
      <c r="A28" s="4" t="s">
        <v>150</v>
      </c>
      <c r="B28" s="4"/>
    </row>
    <row r="29" spans="1:2" x14ac:dyDescent="0.2">
      <c r="A29" s="4" t="s">
        <v>161</v>
      </c>
      <c r="B29" s="4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/>
  <dimension ref="A1:A7"/>
  <sheetViews>
    <sheetView workbookViewId="0"/>
  </sheetViews>
  <sheetFormatPr baseColWidth="10" defaultColWidth="8.83203125" defaultRowHeight="15" x14ac:dyDescent="0.2"/>
  <sheetData>
    <row r="1" spans="1:1" ht="19" customHeight="1" x14ac:dyDescent="0.25">
      <c r="A1" s="1" t="s">
        <v>162</v>
      </c>
    </row>
    <row r="3" spans="1:1" x14ac:dyDescent="0.2">
      <c r="A3" t="s">
        <v>163</v>
      </c>
    </row>
    <row r="4" spans="1:1" x14ac:dyDescent="0.2">
      <c r="A4" t="s">
        <v>164</v>
      </c>
    </row>
    <row r="5" spans="1:1" x14ac:dyDescent="0.2">
      <c r="A5" t="s">
        <v>165</v>
      </c>
    </row>
    <row r="7" spans="1:1" x14ac:dyDescent="0.2">
      <c r="A7" s="9" t="s">
        <v>166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/>
  <dimension ref="A1:E14"/>
  <sheetViews>
    <sheetView workbookViewId="0"/>
  </sheetViews>
  <sheetFormatPr baseColWidth="10" defaultColWidth="8.83203125" defaultRowHeight="15" x14ac:dyDescent="0.2"/>
  <sheetData>
    <row r="1" spans="1:5" x14ac:dyDescent="0.2">
      <c r="A1" t="s">
        <v>167</v>
      </c>
      <c r="B1" t="s">
        <v>168</v>
      </c>
      <c r="C1" t="s">
        <v>169</v>
      </c>
      <c r="D1" t="s">
        <v>170</v>
      </c>
      <c r="E1" t="s">
        <v>171</v>
      </c>
    </row>
    <row r="2" spans="1:5" x14ac:dyDescent="0.2">
      <c r="A2" t="s">
        <v>16</v>
      </c>
      <c r="B2">
        <v>4</v>
      </c>
      <c r="C2">
        <v>5</v>
      </c>
      <c r="D2">
        <v>6</v>
      </c>
      <c r="E2">
        <v>6</v>
      </c>
    </row>
    <row r="3" spans="1:5" x14ac:dyDescent="0.2">
      <c r="A3" t="s">
        <v>18</v>
      </c>
      <c r="B3">
        <v>3</v>
      </c>
      <c r="C3">
        <v>4</v>
      </c>
      <c r="D3">
        <v>4</v>
      </c>
      <c r="E3">
        <v>2</v>
      </c>
    </row>
    <row r="4" spans="1:5" x14ac:dyDescent="0.2">
      <c r="A4" t="s">
        <v>172</v>
      </c>
      <c r="B4">
        <v>0.8</v>
      </c>
      <c r="C4">
        <v>1</v>
      </c>
      <c r="D4">
        <v>1</v>
      </c>
      <c r="E4">
        <v>0.2</v>
      </c>
    </row>
    <row r="5" spans="1:5" x14ac:dyDescent="0.2">
      <c r="A5" t="s">
        <v>9</v>
      </c>
      <c r="B5">
        <v>0.8</v>
      </c>
      <c r="C5">
        <v>1.2</v>
      </c>
      <c r="D5">
        <v>1.2</v>
      </c>
      <c r="E5">
        <v>0.3</v>
      </c>
    </row>
    <row r="6" spans="1:5" x14ac:dyDescent="0.2">
      <c r="A6" t="s">
        <v>173</v>
      </c>
      <c r="B6">
        <v>0.5</v>
      </c>
      <c r="C6">
        <v>0.7</v>
      </c>
      <c r="D6">
        <v>0.8</v>
      </c>
      <c r="E6">
        <v>0.2</v>
      </c>
    </row>
    <row r="7" spans="1:5" x14ac:dyDescent="0.2">
      <c r="A7" t="s">
        <v>23</v>
      </c>
      <c r="B7">
        <v>0.6</v>
      </c>
      <c r="C7">
        <v>0.6</v>
      </c>
      <c r="D7">
        <v>0.6</v>
      </c>
      <c r="E7">
        <v>0.1</v>
      </c>
    </row>
    <row r="8" spans="1:5" x14ac:dyDescent="0.2">
      <c r="A8" t="s">
        <v>174</v>
      </c>
      <c r="B8">
        <v>0.4</v>
      </c>
      <c r="C8">
        <v>0.4</v>
      </c>
      <c r="D8">
        <v>0.3</v>
      </c>
      <c r="E8">
        <v>0.2</v>
      </c>
    </row>
    <row r="9" spans="1:5" x14ac:dyDescent="0.2">
      <c r="A9" t="s">
        <v>175</v>
      </c>
      <c r="B9">
        <v>0.5</v>
      </c>
      <c r="C9">
        <v>0.4</v>
      </c>
      <c r="D9">
        <v>0.3</v>
      </c>
      <c r="E9">
        <v>0.7</v>
      </c>
    </row>
    <row r="10" spans="1:5" x14ac:dyDescent="0.2">
      <c r="A10" t="s">
        <v>30</v>
      </c>
      <c r="B10">
        <v>0.6</v>
      </c>
      <c r="C10">
        <v>0.4</v>
      </c>
      <c r="D10">
        <v>0.2</v>
      </c>
      <c r="E10">
        <v>0.3</v>
      </c>
    </row>
    <row r="11" spans="1:5" x14ac:dyDescent="0.2">
      <c r="A11" t="s">
        <v>32</v>
      </c>
      <c r="B11">
        <v>0.7</v>
      </c>
      <c r="C11">
        <v>0.5</v>
      </c>
      <c r="D11">
        <v>0.2</v>
      </c>
      <c r="E11">
        <v>0.4</v>
      </c>
    </row>
    <row r="12" spans="1:5" x14ac:dyDescent="0.2">
      <c r="A12" t="s">
        <v>34</v>
      </c>
      <c r="B12">
        <v>0.8</v>
      </c>
      <c r="C12">
        <v>0.7</v>
      </c>
      <c r="D12">
        <v>0.5</v>
      </c>
      <c r="E12">
        <v>0.2</v>
      </c>
    </row>
    <row r="13" spans="1:5" x14ac:dyDescent="0.2">
      <c r="A13" t="s">
        <v>36</v>
      </c>
      <c r="B13">
        <v>-0.7</v>
      </c>
      <c r="C13">
        <v>-0.6</v>
      </c>
      <c r="D13">
        <v>-0.6</v>
      </c>
      <c r="E13">
        <v>-0.3</v>
      </c>
    </row>
    <row r="14" spans="1:5" x14ac:dyDescent="0.2">
      <c r="A14" t="s">
        <v>38</v>
      </c>
      <c r="B14">
        <v>-0.3</v>
      </c>
      <c r="C14">
        <v>-0.3</v>
      </c>
      <c r="D14">
        <v>-0.3</v>
      </c>
      <c r="E14">
        <v>-0.3</v>
      </c>
    </row>
  </sheetData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4"/>
  <dimension ref="A1:AB19"/>
  <sheetViews>
    <sheetView workbookViewId="0"/>
  </sheetViews>
  <sheetFormatPr baseColWidth="10" defaultColWidth="8.83203125" defaultRowHeight="15" x14ac:dyDescent="0.2"/>
  <cols>
    <col min="1" max="23" width="16" customWidth="1"/>
  </cols>
  <sheetData>
    <row r="1" spans="1:28" x14ac:dyDescent="0.2">
      <c r="A1" t="s">
        <v>60</v>
      </c>
      <c r="B1" t="s">
        <v>48</v>
      </c>
      <c r="C1" t="s">
        <v>47</v>
      </c>
      <c r="D1" t="s">
        <v>176</v>
      </c>
      <c r="E1" t="s">
        <v>177</v>
      </c>
      <c r="F1" t="s">
        <v>178</v>
      </c>
      <c r="G1" t="s">
        <v>179</v>
      </c>
      <c r="H1" t="s">
        <v>180</v>
      </c>
      <c r="I1" t="s">
        <v>181</v>
      </c>
      <c r="J1" t="s">
        <v>182</v>
      </c>
      <c r="K1" t="s">
        <v>183</v>
      </c>
      <c r="L1" t="s">
        <v>184</v>
      </c>
      <c r="M1" t="s">
        <v>185</v>
      </c>
      <c r="N1" t="s">
        <v>186</v>
      </c>
      <c r="O1" t="s">
        <v>187</v>
      </c>
      <c r="P1" t="s">
        <v>188</v>
      </c>
      <c r="Q1" t="s">
        <v>189</v>
      </c>
      <c r="R1" t="s">
        <v>190</v>
      </c>
      <c r="S1" t="s">
        <v>191</v>
      </c>
      <c r="T1" t="s">
        <v>192</v>
      </c>
      <c r="U1" t="e">
        <f>AVERAGE($S$2:$S$19)</f>
        <v>#VALUE!</v>
      </c>
      <c r="V1" t="s">
        <v>193</v>
      </c>
      <c r="W1" t="s">
        <v>194</v>
      </c>
      <c r="X1" t="e">
        <f ca="1">_xludf.STDEV.S($S$2:$S$19)</f>
        <v>#NAME?</v>
      </c>
      <c r="Y1" t="s">
        <v>195</v>
      </c>
      <c r="AA1" t="s">
        <v>16</v>
      </c>
      <c r="AB1">
        <f>IF($C2="DF",  INDEX(PESOS!$B$2:$B$14, MATCH($AA1, PESOS!$A$2:$A$14, 0)), IF($C2="MF",  INDEX(PESOS!$C$2:$C$14, MATCH($AA1, PESOS!$A$2:$A$14, 0)), IF($C2="FW",  INDEX(PESOS!$D$2:$D$14, MATCH($AA1, PESOS!$A$2:$A$14, 0)), INDEX(PESOS!$E$2:$E$14, MATCH($AA1, PESOS!$A$2:$A$14, 0)))))</f>
        <v>6</v>
      </c>
    </row>
    <row r="2" spans="1:28" x14ac:dyDescent="0.2">
      <c r="A2" t="str">
        <f>FICHA_PARTIDO!E5</f>
        <v>Tadeo</v>
      </c>
      <c r="B2">
        <f>IFERROR(INDEX(FICHA_PARTIDO!$G$5:$G$22, MATCH($A2, FICHA_PARTIDO!$E$5:$E$22, 0)), 90)</f>
        <v>0</v>
      </c>
      <c r="C2" t="str">
        <f>IFERROR(INDEX(FICHA_PARTIDO!$F$5:$F$22, MATCH($A2, FICHA_PARTIDO!$E$5:$E$22, 0)), "MF")</f>
        <v>PT</v>
      </c>
      <c r="D2">
        <f>IFERROR((COUNTIFS(Eventos[Jugador],$A2,Eventos[Evento],"Gol"))*90/$B2,0)</f>
        <v>0</v>
      </c>
      <c r="E2">
        <f>IFERROR((COUNTIFS(Eventos[Jugador],$A2,Eventos[Evento],"Asistencia"))*90/$B2,0)</f>
        <v>0</v>
      </c>
      <c r="F2">
        <f>IFERROR((COUNTIFS(Eventos[Jugador],$A2,Eventos[Evento],"Tiro",Eventos[Resultado],"AP"))*90/$B2,0)</f>
        <v>0</v>
      </c>
      <c r="G2">
        <f>IFERROR((COUNTIFS(Eventos[Jugador],$A2,Eventos[Evento],"Pase clave"))*90/$B2,0)</f>
        <v>0</v>
      </c>
      <c r="H2">
        <f>IFERROR((COUNTIFS(Eventos[Jugador],$A2,Eventos[Evento],"Regate",Eventos[Resultado],"OK"))*90/$B2,0)</f>
        <v>0</v>
      </c>
      <c r="I2">
        <f>IFERROR((COUNTIFS(Eventos[Jugador],$A2,Eventos[Evento],"Centro bueno"))*90/$B2,0)</f>
        <v>0</v>
      </c>
      <c r="J2">
        <f>IFERROR((COUNTIFS(Eventos[Jugador],$A2,Eventos[Evento],"Duel",Eventos[Resultado],"Ganado"))*90/$B2,0)</f>
        <v>0</v>
      </c>
      <c r="K2">
        <f>IFERROR((COUNTIFS(Eventos[Jugador],$A2,Eventos[Evento],"Duel aéreo",Eventos[Resultado],"Ganado"))*90/$B2,0)</f>
        <v>0</v>
      </c>
      <c r="L2">
        <f>IFERROR((COUNTIFS(Eventos[Jugador],$A2,Eventos[Evento],"Intercepción"))*90/$B2,0)</f>
        <v>0</v>
      </c>
      <c r="M2">
        <f>IFERROR((COUNTIFS(Eventos[Jugador],$A2,Eventos[Evento],"Entrada"))*90/$B2,0)</f>
        <v>0</v>
      </c>
      <c r="N2">
        <f>IFERROR((COUNTIFS(Eventos[Jugador],$A2,Eventos[Evento],"Recuperación alta"))*90/$B2,0)</f>
        <v>0</v>
      </c>
      <c r="O2">
        <f>IFERROR((COUNTIFS(Eventos[Jugador],$A2,Eventos[Evento],"Pérdida NF"))*90/$B2,0)</f>
        <v>0</v>
      </c>
      <c r="P2">
        <f>IFERROR((COUNTIFS(Eventos[Jugador],$A2,Eventos[Evento],"Falta cometida"))*90/$B2,0)</f>
        <v>0</v>
      </c>
      <c r="Q2">
        <f t="shared" ref="Q2:Q19" si="0">D2*5 + E2*4 + F2*1 + G2*1.2 + H2*0.7 + I2*0.6 + J2*0.4 + K2*0.5 + L2*0.6 + M2*0.7 + N2*0.8 + O2*(-0.6) + P2*(-0.3)</f>
        <v>0</v>
      </c>
      <c r="R2" t="e">
        <f>SUMPRODUCT(D2:P2, AB1:AB13)</f>
        <v>#VALUE!</v>
      </c>
      <c r="S2" t="e">
        <f t="shared" ref="S2:S19" si="1">R2</f>
        <v>#VALUE!</v>
      </c>
      <c r="T2">
        <f t="shared" ref="T2:T19" si="2">MIN(1, B2/60)</f>
        <v>0</v>
      </c>
      <c r="U2" t="e">
        <f t="shared" ref="U2:U19" si="3">T2*S2 + (1-T2)*$U$1</f>
        <v>#VALUE!</v>
      </c>
      <c r="V2" t="e">
        <f t="shared" ref="V2:V19" ca="1" si="4">MAX(1, MIN(10, 5 + 2 * IF($X$1=0, 0, (U2 - $U$1)/$X$1)))</f>
        <v>#NAME?</v>
      </c>
      <c r="W2" t="e">
        <f t="shared" ref="W2:W19" ca="1" si="5">IF(V2&gt;=8,"MVP/Excelente", IF(V2&gt;=7,"Muy buen rendimiento", IF(V2&gt;=6,"Notable", IF(V2&gt;=5,"Correcto", IF(V2&gt;=4,"Discreto","Insuficiente")))))</f>
        <v>#NAME?</v>
      </c>
      <c r="Y2" t="e">
        <f ca="1">INDEX($A$2:$A$19, MATCH(MAX($V$2:$V$19), $V$2:$V$19, 0))</f>
        <v>#NAME?</v>
      </c>
      <c r="AA2" t="s">
        <v>18</v>
      </c>
      <c r="AB2">
        <f>IF($C2="DF",  INDEX(PESOS!$B$2:$B$14, MATCH($AA2, PESOS!$A$2:$A$14, 0)), IF($C2="MF",  INDEX(PESOS!$C$2:$C$14, MATCH($AA2, PESOS!$A$2:$A$14, 0)), IF($C2="FW",  INDEX(PESOS!$D$2:$D$14, MATCH($AA2, PESOS!$A$2:$A$14, 0)), INDEX(PESOS!$E$2:$E$14, MATCH($AA2, PESOS!$A$2:$A$14, 0)))))</f>
        <v>2</v>
      </c>
    </row>
    <row r="3" spans="1:28" x14ac:dyDescent="0.2">
      <c r="A3" t="str">
        <f>FICHA_PARTIDO!E6</f>
        <v>Antonio</v>
      </c>
      <c r="B3">
        <f>IFERROR(INDEX(FICHA_PARTIDO!$G$5:$G$22, MATCH($A3, FICHA_PARTIDO!$E$5:$E$22, 0)), 90)</f>
        <v>0</v>
      </c>
      <c r="C3" t="str">
        <f>IFERROR(INDEX(FICHA_PARTIDO!$F$5:$F$22, MATCH($A3, FICHA_PARTIDO!$E$5:$E$22, 0)), "MF")</f>
        <v>PT</v>
      </c>
      <c r="D3">
        <f>IFERROR((COUNTIFS(Eventos[Jugador],$A3,Eventos[Evento],"Gol"))*90/$B3,0)</f>
        <v>0</v>
      </c>
      <c r="E3">
        <f>IFERROR((COUNTIFS(Eventos[Jugador],$A3,Eventos[Evento],"Asistencia"))*90/$B3,0)</f>
        <v>0</v>
      </c>
      <c r="F3">
        <f>IFERROR((COUNTIFS(Eventos[Jugador],$A3,Eventos[Evento],"Tiro",Eventos[Resultado],"AP"))*90/$B3,0)</f>
        <v>0</v>
      </c>
      <c r="G3">
        <f>IFERROR((COUNTIFS(Eventos[Jugador],$A3,Eventos[Evento],"Pase clave"))*90/$B3,0)</f>
        <v>0</v>
      </c>
      <c r="H3">
        <f>IFERROR((COUNTIFS(Eventos[Jugador],$A3,Eventos[Evento],"Regate",Eventos[Resultado],"OK"))*90/$B3,0)</f>
        <v>0</v>
      </c>
      <c r="I3">
        <f>IFERROR((COUNTIFS(Eventos[Jugador],$A3,Eventos[Evento],"Centro bueno"))*90/$B3,0)</f>
        <v>0</v>
      </c>
      <c r="J3">
        <f>IFERROR((COUNTIFS(Eventos[Jugador],$A3,Eventos[Evento],"Duel",Eventos[Resultado],"Ganado"))*90/$B3,0)</f>
        <v>0</v>
      </c>
      <c r="K3">
        <f>IFERROR((COUNTIFS(Eventos[Jugador],$A3,Eventos[Evento],"Duel aéreo",Eventos[Resultado],"Ganado"))*90/$B3,0)</f>
        <v>0</v>
      </c>
      <c r="L3">
        <f>IFERROR((COUNTIFS(Eventos[Jugador],$A3,Eventos[Evento],"Intercepción"))*90/$B3,0)</f>
        <v>0</v>
      </c>
      <c r="M3">
        <f>IFERROR((COUNTIFS(Eventos[Jugador],$A3,Eventos[Evento],"Entrada"))*90/$B3,0)</f>
        <v>0</v>
      </c>
      <c r="N3">
        <f>IFERROR((COUNTIFS(Eventos[Jugador],$A3,Eventos[Evento],"Recuperación alta"))*90/$B3,0)</f>
        <v>0</v>
      </c>
      <c r="O3">
        <f>IFERROR((COUNTIFS(Eventos[Jugador],$A3,Eventos[Evento],"Pérdida NF"))*90/$B3,0)</f>
        <v>0</v>
      </c>
      <c r="P3">
        <f>IFERROR((COUNTIFS(Eventos[Jugador],$A3,Eventos[Evento],"Falta cometida"))*90/$B3,0)</f>
        <v>0</v>
      </c>
      <c r="Q3">
        <f t="shared" si="0"/>
        <v>0</v>
      </c>
      <c r="R3" t="e">
        <f>SUMPRODUCT(D3:P3, AB1:AB13)</f>
        <v>#VALUE!</v>
      </c>
      <c r="S3" t="e">
        <f t="shared" si="1"/>
        <v>#VALUE!</v>
      </c>
      <c r="T3">
        <f t="shared" si="2"/>
        <v>0</v>
      </c>
      <c r="U3" t="e">
        <f t="shared" si="3"/>
        <v>#VALUE!</v>
      </c>
      <c r="V3" t="e">
        <f t="shared" ca="1" si="4"/>
        <v>#NAME?</v>
      </c>
      <c r="W3" t="e">
        <f t="shared" ca="1" si="5"/>
        <v>#NAME?</v>
      </c>
      <c r="AA3" t="s">
        <v>172</v>
      </c>
      <c r="AB3">
        <f>IF($C2="DF",  INDEX(PESOS!$B$2:$B$14, MATCH($AA3, PESOS!$A$2:$A$14, 0)), IF($C2="MF",  INDEX(PESOS!$C$2:$C$14, MATCH($AA3, PESOS!$A$2:$A$14, 0)), IF($C2="FW",  INDEX(PESOS!$D$2:$D$14, MATCH($AA3, PESOS!$A$2:$A$14, 0)), INDEX(PESOS!$E$2:$E$14, MATCH($AA3, PESOS!$A$2:$A$14, 0)))))</f>
        <v>0.2</v>
      </c>
    </row>
    <row r="4" spans="1:28" x14ac:dyDescent="0.2">
      <c r="A4" t="str">
        <f>FICHA_PARTIDO!E7</f>
        <v>Andrews</v>
      </c>
      <c r="B4">
        <f>IFERROR(INDEX(FICHA_PARTIDO!$G$5:$G$22, MATCH($A4, FICHA_PARTIDO!$E$5:$E$22, 0)), 90)</f>
        <v>0</v>
      </c>
      <c r="C4" t="str">
        <f>IFERROR(INDEX(FICHA_PARTIDO!$F$5:$F$22, MATCH($A4, FICHA_PARTIDO!$E$5:$E$22, 0)), "MF")</f>
        <v>LTD</v>
      </c>
      <c r="D4">
        <f>IFERROR((COUNTIFS(Eventos[Jugador],$A4,Eventos[Evento],"Gol"))*90/$B4,0)</f>
        <v>0</v>
      </c>
      <c r="E4">
        <f>IFERROR((COUNTIFS(Eventos[Jugador],$A4,Eventos[Evento],"Asistencia"))*90/$B4,0)</f>
        <v>0</v>
      </c>
      <c r="F4">
        <f>IFERROR((COUNTIFS(Eventos[Jugador],$A4,Eventos[Evento],"Tiro",Eventos[Resultado],"AP"))*90/$B4,0)</f>
        <v>0</v>
      </c>
      <c r="G4">
        <f>IFERROR((COUNTIFS(Eventos[Jugador],$A4,Eventos[Evento],"Pase clave"))*90/$B4,0)</f>
        <v>0</v>
      </c>
      <c r="H4">
        <f>IFERROR((COUNTIFS(Eventos[Jugador],$A4,Eventos[Evento],"Regate",Eventos[Resultado],"OK"))*90/$B4,0)</f>
        <v>0</v>
      </c>
      <c r="I4">
        <f>IFERROR((COUNTIFS(Eventos[Jugador],$A4,Eventos[Evento],"Centro bueno"))*90/$B4,0)</f>
        <v>0</v>
      </c>
      <c r="J4">
        <f>IFERROR((COUNTIFS(Eventos[Jugador],$A4,Eventos[Evento],"Duel",Eventos[Resultado],"Ganado"))*90/$B4,0)</f>
        <v>0</v>
      </c>
      <c r="K4">
        <f>IFERROR((COUNTIFS(Eventos[Jugador],$A4,Eventos[Evento],"Duel aéreo",Eventos[Resultado],"Ganado"))*90/$B4,0)</f>
        <v>0</v>
      </c>
      <c r="L4">
        <f>IFERROR((COUNTIFS(Eventos[Jugador],$A4,Eventos[Evento],"Intercepción"))*90/$B4,0)</f>
        <v>0</v>
      </c>
      <c r="M4">
        <f>IFERROR((COUNTIFS(Eventos[Jugador],$A4,Eventos[Evento],"Entrada"))*90/$B4,0)</f>
        <v>0</v>
      </c>
      <c r="N4">
        <f>IFERROR((COUNTIFS(Eventos[Jugador],$A4,Eventos[Evento],"Recuperación alta"))*90/$B4,0)</f>
        <v>0</v>
      </c>
      <c r="O4">
        <f>IFERROR((COUNTIFS(Eventos[Jugador],$A4,Eventos[Evento],"Pérdida NF"))*90/$B4,0)</f>
        <v>0</v>
      </c>
      <c r="P4">
        <f>IFERROR((COUNTIFS(Eventos[Jugador],$A4,Eventos[Evento],"Falta cometida"))*90/$B4,0)</f>
        <v>0</v>
      </c>
      <c r="Q4">
        <f t="shared" si="0"/>
        <v>0</v>
      </c>
      <c r="R4" t="e">
        <f>SUMPRODUCT(D4:P4, AB1:AB13)</f>
        <v>#VALUE!</v>
      </c>
      <c r="S4" t="e">
        <f t="shared" si="1"/>
        <v>#VALUE!</v>
      </c>
      <c r="T4">
        <f t="shared" si="2"/>
        <v>0</v>
      </c>
      <c r="U4" t="e">
        <f t="shared" si="3"/>
        <v>#VALUE!</v>
      </c>
      <c r="V4" t="e">
        <f t="shared" ca="1" si="4"/>
        <v>#NAME?</v>
      </c>
      <c r="W4" t="e">
        <f t="shared" ca="1" si="5"/>
        <v>#NAME?</v>
      </c>
      <c r="AA4" t="s">
        <v>9</v>
      </c>
      <c r="AB4">
        <f>IF($C2="DF",  INDEX(PESOS!$B$2:$B$14, MATCH($AA4, PESOS!$A$2:$A$14, 0)), IF($C2="MF",  INDEX(PESOS!$C$2:$C$14, MATCH($AA4, PESOS!$A$2:$A$14, 0)), IF($C2="FW",  INDEX(PESOS!$D$2:$D$14, MATCH($AA4, PESOS!$A$2:$A$14, 0)), INDEX(PESOS!$E$2:$E$14, MATCH($AA4, PESOS!$A$2:$A$14, 0)))))</f>
        <v>0.3</v>
      </c>
    </row>
    <row r="5" spans="1:28" x14ac:dyDescent="0.2">
      <c r="A5" t="str">
        <f>FICHA_PARTIDO!E8</f>
        <v>Yaco</v>
      </c>
      <c r="B5">
        <f>IFERROR(INDEX(FICHA_PARTIDO!$G$5:$G$22, MATCH($A5, FICHA_PARTIDO!$E$5:$E$22, 0)), 90)</f>
        <v>0</v>
      </c>
      <c r="C5" t="str">
        <f>IFERROR(INDEX(FICHA_PARTIDO!$F$5:$F$22, MATCH($A5, FICHA_PARTIDO!$E$5:$E$22, 0)), "MF")</f>
        <v>DF</v>
      </c>
      <c r="D5">
        <f>IFERROR((COUNTIFS(Eventos[Jugador],$A5,Eventos[Evento],"Gol"))*90/$B5,0)</f>
        <v>0</v>
      </c>
      <c r="E5">
        <f>IFERROR((COUNTIFS(Eventos[Jugador],$A5,Eventos[Evento],"Asistencia"))*90/$B5,0)</f>
        <v>0</v>
      </c>
      <c r="F5">
        <f>IFERROR((COUNTIFS(Eventos[Jugador],$A5,Eventos[Evento],"Tiro",Eventos[Resultado],"AP"))*90/$B5,0)</f>
        <v>0</v>
      </c>
      <c r="G5">
        <f>IFERROR((COUNTIFS(Eventos[Jugador],$A5,Eventos[Evento],"Pase clave"))*90/$B5,0)</f>
        <v>0</v>
      </c>
      <c r="H5">
        <f>IFERROR((COUNTIFS(Eventos[Jugador],$A5,Eventos[Evento],"Regate",Eventos[Resultado],"OK"))*90/$B5,0)</f>
        <v>0</v>
      </c>
      <c r="I5">
        <f>IFERROR((COUNTIFS(Eventos[Jugador],$A5,Eventos[Evento],"Centro bueno"))*90/$B5,0)</f>
        <v>0</v>
      </c>
      <c r="J5">
        <f>IFERROR((COUNTIFS(Eventos[Jugador],$A5,Eventos[Evento],"Duel",Eventos[Resultado],"Ganado"))*90/$B5,0)</f>
        <v>0</v>
      </c>
      <c r="K5">
        <f>IFERROR((COUNTIFS(Eventos[Jugador],$A5,Eventos[Evento],"Duel aéreo",Eventos[Resultado],"Ganado"))*90/$B5,0)</f>
        <v>0</v>
      </c>
      <c r="L5">
        <f>IFERROR((COUNTIFS(Eventos[Jugador],$A5,Eventos[Evento],"Intercepción"))*90/$B5,0)</f>
        <v>0</v>
      </c>
      <c r="M5">
        <f>IFERROR((COUNTIFS(Eventos[Jugador],$A5,Eventos[Evento],"Entrada"))*90/$B5,0)</f>
        <v>0</v>
      </c>
      <c r="N5">
        <f>IFERROR((COUNTIFS(Eventos[Jugador],$A5,Eventos[Evento],"Recuperación alta"))*90/$B5,0)</f>
        <v>0</v>
      </c>
      <c r="O5">
        <f>IFERROR((COUNTIFS(Eventos[Jugador],$A5,Eventos[Evento],"Pérdida NF"))*90/$B5,0)</f>
        <v>0</v>
      </c>
      <c r="P5">
        <f>IFERROR((COUNTIFS(Eventos[Jugador],$A5,Eventos[Evento],"Falta cometida"))*90/$B5,0)</f>
        <v>0</v>
      </c>
      <c r="Q5">
        <f t="shared" si="0"/>
        <v>0</v>
      </c>
      <c r="R5" t="e">
        <f>SUMPRODUCT(D5:P5, AB1:AB13)</f>
        <v>#VALUE!</v>
      </c>
      <c r="S5" t="e">
        <f t="shared" si="1"/>
        <v>#VALUE!</v>
      </c>
      <c r="T5">
        <f t="shared" si="2"/>
        <v>0</v>
      </c>
      <c r="U5" t="e">
        <f t="shared" si="3"/>
        <v>#VALUE!</v>
      </c>
      <c r="V5" t="e">
        <f t="shared" ca="1" si="4"/>
        <v>#NAME?</v>
      </c>
      <c r="W5" t="e">
        <f t="shared" ca="1" si="5"/>
        <v>#NAME?</v>
      </c>
      <c r="AA5" t="s">
        <v>173</v>
      </c>
      <c r="AB5">
        <f>IF($C2="DF",  INDEX(PESOS!$B$2:$B$14, MATCH($AA5, PESOS!$A$2:$A$14, 0)), IF($C2="MF",  INDEX(PESOS!$C$2:$C$14, MATCH($AA5, PESOS!$A$2:$A$14, 0)), IF($C2="FW",  INDEX(PESOS!$D$2:$D$14, MATCH($AA5, PESOS!$A$2:$A$14, 0)), INDEX(PESOS!$E$2:$E$14, MATCH($AA5, PESOS!$A$2:$A$14, 0)))))</f>
        <v>0.2</v>
      </c>
    </row>
    <row r="6" spans="1:28" x14ac:dyDescent="0.2">
      <c r="A6" t="str">
        <f>FICHA_PARTIDO!E9</f>
        <v>Ayala</v>
      </c>
      <c r="B6">
        <f>IFERROR(INDEX(FICHA_PARTIDO!$G$5:$G$22, MATCH($A6, FICHA_PARTIDO!$E$5:$E$22, 0)), 90)</f>
        <v>0</v>
      </c>
      <c r="C6" t="str">
        <f>IFERROR(INDEX(FICHA_PARTIDO!$F$5:$F$22, MATCH($A6, FICHA_PARTIDO!$E$5:$E$22, 0)), "MF")</f>
        <v>DF</v>
      </c>
      <c r="D6">
        <f>IFERROR((COUNTIFS(Eventos[Jugador],$A6,Eventos[Evento],"Gol"))*90/$B6,0)</f>
        <v>0</v>
      </c>
      <c r="E6">
        <f>IFERROR((COUNTIFS(Eventos[Jugador],$A6,Eventos[Evento],"Asistencia"))*90/$B6,0)</f>
        <v>0</v>
      </c>
      <c r="F6">
        <f>IFERROR((COUNTIFS(Eventos[Jugador],$A6,Eventos[Evento],"Tiro",Eventos[Resultado],"AP"))*90/$B6,0)</f>
        <v>0</v>
      </c>
      <c r="G6">
        <f>IFERROR((COUNTIFS(Eventos[Jugador],$A6,Eventos[Evento],"Pase clave"))*90/$B6,0)</f>
        <v>0</v>
      </c>
      <c r="H6">
        <f>IFERROR((COUNTIFS(Eventos[Jugador],$A6,Eventos[Evento],"Regate",Eventos[Resultado],"OK"))*90/$B6,0)</f>
        <v>0</v>
      </c>
      <c r="I6">
        <f>IFERROR((COUNTIFS(Eventos[Jugador],$A6,Eventos[Evento],"Centro bueno"))*90/$B6,0)</f>
        <v>0</v>
      </c>
      <c r="J6">
        <f>IFERROR((COUNTIFS(Eventos[Jugador],$A6,Eventos[Evento],"Duel",Eventos[Resultado],"Ganado"))*90/$B6,0)</f>
        <v>0</v>
      </c>
      <c r="K6">
        <f>IFERROR((COUNTIFS(Eventos[Jugador],$A6,Eventos[Evento],"Duel aéreo",Eventos[Resultado],"Ganado"))*90/$B6,0)</f>
        <v>0</v>
      </c>
      <c r="L6">
        <f>IFERROR((COUNTIFS(Eventos[Jugador],$A6,Eventos[Evento],"Intercepción"))*90/$B6,0)</f>
        <v>0</v>
      </c>
      <c r="M6">
        <f>IFERROR((COUNTIFS(Eventos[Jugador],$A6,Eventos[Evento],"Entrada"))*90/$B6,0)</f>
        <v>0</v>
      </c>
      <c r="N6">
        <f>IFERROR((COUNTIFS(Eventos[Jugador],$A6,Eventos[Evento],"Recuperación alta"))*90/$B6,0)</f>
        <v>0</v>
      </c>
      <c r="O6">
        <f>IFERROR((COUNTIFS(Eventos[Jugador],$A6,Eventos[Evento],"Pérdida NF"))*90/$B6,0)</f>
        <v>0</v>
      </c>
      <c r="P6">
        <f>IFERROR((COUNTIFS(Eventos[Jugador],$A6,Eventos[Evento],"Falta cometida"))*90/$B6,0)</f>
        <v>0</v>
      </c>
      <c r="Q6">
        <f t="shared" si="0"/>
        <v>0</v>
      </c>
      <c r="R6" t="e">
        <f>SUMPRODUCT(D6:P6, AB1:AB13)</f>
        <v>#VALUE!</v>
      </c>
      <c r="S6" t="e">
        <f t="shared" si="1"/>
        <v>#VALUE!</v>
      </c>
      <c r="T6">
        <f t="shared" si="2"/>
        <v>0</v>
      </c>
      <c r="U6" t="e">
        <f t="shared" si="3"/>
        <v>#VALUE!</v>
      </c>
      <c r="V6" t="e">
        <f t="shared" ca="1" si="4"/>
        <v>#NAME?</v>
      </c>
      <c r="W6" t="e">
        <f t="shared" ca="1" si="5"/>
        <v>#NAME?</v>
      </c>
      <c r="AA6" t="s">
        <v>23</v>
      </c>
      <c r="AB6">
        <f>IF($C2="DF",  INDEX(PESOS!$B$2:$B$14, MATCH($AA6, PESOS!$A$2:$A$14, 0)), IF($C2="MF",  INDEX(PESOS!$C$2:$C$14, MATCH($AA6, PESOS!$A$2:$A$14, 0)), IF($C2="FW",  INDEX(PESOS!$D$2:$D$14, MATCH($AA6, PESOS!$A$2:$A$14, 0)), INDEX(PESOS!$E$2:$E$14, MATCH($AA6, PESOS!$A$2:$A$14, 0)))))</f>
        <v>0.1</v>
      </c>
    </row>
    <row r="7" spans="1:28" x14ac:dyDescent="0.2">
      <c r="A7" t="str">
        <f>FICHA_PARTIDO!E10</f>
        <v>Martinez</v>
      </c>
      <c r="B7">
        <f>IFERROR(INDEX(FICHA_PARTIDO!$G$5:$G$22, MATCH($A7, FICHA_PARTIDO!$E$5:$E$22, 0)), 90)</f>
        <v>0</v>
      </c>
      <c r="C7" t="str">
        <f>IFERROR(INDEX(FICHA_PARTIDO!$F$5:$F$22, MATCH($A7, FICHA_PARTIDO!$E$5:$E$22, 0)), "MF")</f>
        <v>PIV</v>
      </c>
      <c r="D7">
        <f>IFERROR((COUNTIFS(Eventos[Jugador],$A7,Eventos[Evento],"Gol"))*90/$B7,0)</f>
        <v>0</v>
      </c>
      <c r="E7">
        <f>IFERROR((COUNTIFS(Eventos[Jugador],$A7,Eventos[Evento],"Asistencia"))*90/$B7,0)</f>
        <v>0</v>
      </c>
      <c r="F7">
        <f>IFERROR((COUNTIFS(Eventos[Jugador],$A7,Eventos[Evento],"Tiro",Eventos[Resultado],"AP"))*90/$B7,0)</f>
        <v>0</v>
      </c>
      <c r="G7">
        <f>IFERROR((COUNTIFS(Eventos[Jugador],$A7,Eventos[Evento],"Pase clave"))*90/$B7,0)</f>
        <v>0</v>
      </c>
      <c r="H7">
        <f>IFERROR((COUNTIFS(Eventos[Jugador],$A7,Eventos[Evento],"Regate",Eventos[Resultado],"OK"))*90/$B7,0)</f>
        <v>0</v>
      </c>
      <c r="I7">
        <f>IFERROR((COUNTIFS(Eventos[Jugador],$A7,Eventos[Evento],"Centro bueno"))*90/$B7,0)</f>
        <v>0</v>
      </c>
      <c r="J7">
        <f>IFERROR((COUNTIFS(Eventos[Jugador],$A7,Eventos[Evento],"Duel",Eventos[Resultado],"Ganado"))*90/$B7,0)</f>
        <v>0</v>
      </c>
      <c r="K7">
        <f>IFERROR((COUNTIFS(Eventos[Jugador],$A7,Eventos[Evento],"Duel aéreo",Eventos[Resultado],"Ganado"))*90/$B7,0)</f>
        <v>0</v>
      </c>
      <c r="L7">
        <f>IFERROR((COUNTIFS(Eventos[Jugador],$A7,Eventos[Evento],"Intercepción"))*90/$B7,0)</f>
        <v>0</v>
      </c>
      <c r="M7">
        <f>IFERROR((COUNTIFS(Eventos[Jugador],$A7,Eventos[Evento],"Entrada"))*90/$B7,0)</f>
        <v>0</v>
      </c>
      <c r="N7">
        <f>IFERROR((COUNTIFS(Eventos[Jugador],$A7,Eventos[Evento],"Recuperación alta"))*90/$B7,0)</f>
        <v>0</v>
      </c>
      <c r="O7">
        <f>IFERROR((COUNTIFS(Eventos[Jugador],$A7,Eventos[Evento],"Pérdida NF"))*90/$B7,0)</f>
        <v>0</v>
      </c>
      <c r="P7">
        <f>IFERROR((COUNTIFS(Eventos[Jugador],$A7,Eventos[Evento],"Falta cometida"))*90/$B7,0)</f>
        <v>0</v>
      </c>
      <c r="Q7">
        <f t="shared" si="0"/>
        <v>0</v>
      </c>
      <c r="R7" t="e">
        <f>SUMPRODUCT(D7:P7, AB1:AB13)</f>
        <v>#VALUE!</v>
      </c>
      <c r="S7" t="e">
        <f t="shared" si="1"/>
        <v>#VALUE!</v>
      </c>
      <c r="T7">
        <f t="shared" si="2"/>
        <v>0</v>
      </c>
      <c r="U7" t="e">
        <f t="shared" si="3"/>
        <v>#VALUE!</v>
      </c>
      <c r="V7" t="e">
        <f t="shared" ca="1" si="4"/>
        <v>#NAME?</v>
      </c>
      <c r="W7" t="e">
        <f t="shared" ca="1" si="5"/>
        <v>#NAME?</v>
      </c>
      <c r="AA7" t="s">
        <v>174</v>
      </c>
      <c r="AB7">
        <f>IF($C2="DF",  INDEX(PESOS!$B$2:$B$14, MATCH($AA7, PESOS!$A$2:$A$14, 0)), IF($C2="MF",  INDEX(PESOS!$C$2:$C$14, MATCH($AA7, PESOS!$A$2:$A$14, 0)), IF($C2="FW",  INDEX(PESOS!$D$2:$D$14, MATCH($AA7, PESOS!$A$2:$A$14, 0)), INDEX(PESOS!$E$2:$E$14, MATCH($AA7, PESOS!$A$2:$A$14, 0)))))</f>
        <v>0.2</v>
      </c>
    </row>
    <row r="8" spans="1:28" x14ac:dyDescent="0.2">
      <c r="A8" t="str">
        <f>FICHA_PARTIDO!E11</f>
        <v>Hiago</v>
      </c>
      <c r="B8">
        <f>IFERROR(INDEX(FICHA_PARTIDO!$G$5:$G$22, MATCH($A8, FICHA_PARTIDO!$E$5:$E$22, 0)), 90)</f>
        <v>0</v>
      </c>
      <c r="C8" t="str">
        <f>IFERROR(INDEX(FICHA_PARTIDO!$F$5:$F$22, MATCH($A8, FICHA_PARTIDO!$E$5:$E$22, 0)), "MF")</f>
        <v>PIV</v>
      </c>
      <c r="D8">
        <f>IFERROR((COUNTIFS(Eventos[Jugador],$A8,Eventos[Evento],"Gol"))*90/$B8,0)</f>
        <v>0</v>
      </c>
      <c r="E8">
        <f>IFERROR((COUNTIFS(Eventos[Jugador],$A8,Eventos[Evento],"Asistencia"))*90/$B8,0)</f>
        <v>0</v>
      </c>
      <c r="F8">
        <f>IFERROR((COUNTIFS(Eventos[Jugador],$A8,Eventos[Evento],"Tiro",Eventos[Resultado],"AP"))*90/$B8,0)</f>
        <v>0</v>
      </c>
      <c r="G8">
        <f>IFERROR((COUNTIFS(Eventos[Jugador],$A8,Eventos[Evento],"Pase clave"))*90/$B8,0)</f>
        <v>0</v>
      </c>
      <c r="H8">
        <f>IFERROR((COUNTIFS(Eventos[Jugador],$A8,Eventos[Evento],"Regate",Eventos[Resultado],"OK"))*90/$B8,0)</f>
        <v>0</v>
      </c>
      <c r="I8">
        <f>IFERROR((COUNTIFS(Eventos[Jugador],$A8,Eventos[Evento],"Centro bueno"))*90/$B8,0)</f>
        <v>0</v>
      </c>
      <c r="J8">
        <f>IFERROR((COUNTIFS(Eventos[Jugador],$A8,Eventos[Evento],"Duel",Eventos[Resultado],"Ganado"))*90/$B8,0)</f>
        <v>0</v>
      </c>
      <c r="K8">
        <f>IFERROR((COUNTIFS(Eventos[Jugador],$A8,Eventos[Evento],"Duel aéreo",Eventos[Resultado],"Ganado"))*90/$B8,0)</f>
        <v>0</v>
      </c>
      <c r="L8">
        <f>IFERROR((COUNTIFS(Eventos[Jugador],$A8,Eventos[Evento],"Intercepción"))*90/$B8,0)</f>
        <v>0</v>
      </c>
      <c r="M8">
        <f>IFERROR((COUNTIFS(Eventos[Jugador],$A8,Eventos[Evento],"Entrada"))*90/$B8,0)</f>
        <v>0</v>
      </c>
      <c r="N8">
        <f>IFERROR((COUNTIFS(Eventos[Jugador],$A8,Eventos[Evento],"Recuperación alta"))*90/$B8,0)</f>
        <v>0</v>
      </c>
      <c r="O8">
        <f>IFERROR((COUNTIFS(Eventos[Jugador],$A8,Eventos[Evento],"Pérdida NF"))*90/$B8,0)</f>
        <v>0</v>
      </c>
      <c r="P8">
        <f>IFERROR((COUNTIFS(Eventos[Jugador],$A8,Eventos[Evento],"Falta cometida"))*90/$B8,0)</f>
        <v>0</v>
      </c>
      <c r="Q8">
        <f t="shared" si="0"/>
        <v>0</v>
      </c>
      <c r="R8" t="e">
        <f>SUMPRODUCT(D8:P8, AB1:AB13)</f>
        <v>#VALUE!</v>
      </c>
      <c r="S8" t="e">
        <f t="shared" si="1"/>
        <v>#VALUE!</v>
      </c>
      <c r="T8">
        <f t="shared" si="2"/>
        <v>0</v>
      </c>
      <c r="U8" t="e">
        <f t="shared" si="3"/>
        <v>#VALUE!</v>
      </c>
      <c r="V8" t="e">
        <f t="shared" ca="1" si="4"/>
        <v>#NAME?</v>
      </c>
      <c r="W8" t="e">
        <f t="shared" ca="1" si="5"/>
        <v>#NAME?</v>
      </c>
      <c r="AA8" t="s">
        <v>175</v>
      </c>
      <c r="AB8">
        <f>IF($C2="DF",  INDEX(PESOS!$B$2:$B$14, MATCH($AA8, PESOS!$A$2:$A$14, 0)), IF($C2="MF",  INDEX(PESOS!$C$2:$C$14, MATCH($AA8, PESOS!$A$2:$A$14, 0)), IF($C2="FW",  INDEX(PESOS!$D$2:$D$14, MATCH($AA8, PESOS!$A$2:$A$14, 0)), INDEX(PESOS!$E$2:$E$14, MATCH($AA8, PESOS!$A$2:$A$14, 0)))))</f>
        <v>0.7</v>
      </c>
    </row>
    <row r="9" spans="1:28" x14ac:dyDescent="0.2">
      <c r="A9" t="str">
        <f>FICHA_PARTIDO!E12</f>
        <v>Nacho</v>
      </c>
      <c r="B9">
        <f>IFERROR(INDEX(FICHA_PARTIDO!$G$5:$G$22, MATCH($A9, FICHA_PARTIDO!$E$5:$E$22, 0)), 90)</f>
        <v>0</v>
      </c>
      <c r="C9" t="str">
        <f>IFERROR(INDEX(FICHA_PARTIDO!$F$5:$F$22, MATCH($A9, FICHA_PARTIDO!$E$5:$E$22, 0)), "MF")</f>
        <v>MC</v>
      </c>
      <c r="D9">
        <f>IFERROR((COUNTIFS(Eventos[Jugador],$A9,Eventos[Evento],"Gol"))*90/$B9,0)</f>
        <v>0</v>
      </c>
      <c r="E9">
        <f>IFERROR((COUNTIFS(Eventos[Jugador],$A9,Eventos[Evento],"Asistencia"))*90/$B9,0)</f>
        <v>0</v>
      </c>
      <c r="F9">
        <f>IFERROR((COUNTIFS(Eventos[Jugador],$A9,Eventos[Evento],"Tiro",Eventos[Resultado],"AP"))*90/$B9,0)</f>
        <v>0</v>
      </c>
      <c r="G9">
        <f>IFERROR((COUNTIFS(Eventos[Jugador],$A9,Eventos[Evento],"Pase clave"))*90/$B9,0)</f>
        <v>0</v>
      </c>
      <c r="H9">
        <f>IFERROR((COUNTIFS(Eventos[Jugador],$A9,Eventos[Evento],"Regate",Eventos[Resultado],"OK"))*90/$B9,0)</f>
        <v>0</v>
      </c>
      <c r="I9">
        <f>IFERROR((COUNTIFS(Eventos[Jugador],$A9,Eventos[Evento],"Centro bueno"))*90/$B9,0)</f>
        <v>0</v>
      </c>
      <c r="J9">
        <f>IFERROR((COUNTIFS(Eventos[Jugador],$A9,Eventos[Evento],"Duel",Eventos[Resultado],"Ganado"))*90/$B9,0)</f>
        <v>0</v>
      </c>
      <c r="K9">
        <f>IFERROR((COUNTIFS(Eventos[Jugador],$A9,Eventos[Evento],"Duel aéreo",Eventos[Resultado],"Ganado"))*90/$B9,0)</f>
        <v>0</v>
      </c>
      <c r="L9">
        <f>IFERROR((COUNTIFS(Eventos[Jugador],$A9,Eventos[Evento],"Intercepción"))*90/$B9,0)</f>
        <v>0</v>
      </c>
      <c r="M9">
        <f>IFERROR((COUNTIFS(Eventos[Jugador],$A9,Eventos[Evento],"Entrada"))*90/$B9,0)</f>
        <v>0</v>
      </c>
      <c r="N9">
        <f>IFERROR((COUNTIFS(Eventos[Jugador],$A9,Eventos[Evento],"Recuperación alta"))*90/$B9,0)</f>
        <v>0</v>
      </c>
      <c r="O9">
        <f>IFERROR((COUNTIFS(Eventos[Jugador],$A9,Eventos[Evento],"Pérdida NF"))*90/$B9,0)</f>
        <v>0</v>
      </c>
      <c r="P9">
        <f>IFERROR((COUNTIFS(Eventos[Jugador],$A9,Eventos[Evento],"Falta cometida"))*90/$B9,0)</f>
        <v>0</v>
      </c>
      <c r="Q9">
        <f t="shared" si="0"/>
        <v>0</v>
      </c>
      <c r="R9" t="e">
        <f>SUMPRODUCT(D9:P9, AB1:AB13)</f>
        <v>#VALUE!</v>
      </c>
      <c r="S9" t="e">
        <f t="shared" si="1"/>
        <v>#VALUE!</v>
      </c>
      <c r="T9">
        <f t="shared" si="2"/>
        <v>0</v>
      </c>
      <c r="U9" t="e">
        <f t="shared" si="3"/>
        <v>#VALUE!</v>
      </c>
      <c r="V9" t="e">
        <f t="shared" ca="1" si="4"/>
        <v>#NAME?</v>
      </c>
      <c r="W9" t="e">
        <f t="shared" ca="1" si="5"/>
        <v>#NAME?</v>
      </c>
      <c r="AA9" t="s">
        <v>30</v>
      </c>
      <c r="AB9">
        <f>IF($C2="DF",  INDEX(PESOS!$B$2:$B$14, MATCH($AA9, PESOS!$A$2:$A$14, 0)), IF($C2="MF",  INDEX(PESOS!$C$2:$C$14, MATCH($AA9, PESOS!$A$2:$A$14, 0)), IF($C2="FW",  INDEX(PESOS!$D$2:$D$14, MATCH($AA9, PESOS!$A$2:$A$14, 0)), INDEX(PESOS!$E$2:$E$14, MATCH($AA9, PESOS!$A$2:$A$14, 0)))))</f>
        <v>0.3</v>
      </c>
    </row>
    <row r="10" spans="1:28" x14ac:dyDescent="0.2">
      <c r="A10" t="str">
        <f>FICHA_PARTIDO!E13</f>
        <v>Ivan</v>
      </c>
      <c r="B10">
        <f>IFERROR(INDEX(FICHA_PARTIDO!$G$5:$G$22, MATCH($A10, FICHA_PARTIDO!$E$5:$E$22, 0)), 90)</f>
        <v>0</v>
      </c>
      <c r="C10" t="str">
        <f>IFERROR(INDEX(FICHA_PARTIDO!$F$5:$F$22, MATCH($A10, FICHA_PARTIDO!$E$5:$E$22, 0)), "MF")</f>
        <v>DL</v>
      </c>
      <c r="D10">
        <f>IFERROR((COUNTIFS(Eventos[Jugador],$A10,Eventos[Evento],"Gol"))*90/$B10,0)</f>
        <v>0</v>
      </c>
      <c r="E10">
        <f>IFERROR((COUNTIFS(Eventos[Jugador],$A10,Eventos[Evento],"Asistencia"))*90/$B10,0)</f>
        <v>0</v>
      </c>
      <c r="F10">
        <f>IFERROR((COUNTIFS(Eventos[Jugador],$A10,Eventos[Evento],"Tiro",Eventos[Resultado],"AP"))*90/$B10,0)</f>
        <v>0</v>
      </c>
      <c r="G10">
        <f>IFERROR((COUNTIFS(Eventos[Jugador],$A10,Eventos[Evento],"Pase clave"))*90/$B10,0)</f>
        <v>0</v>
      </c>
      <c r="H10">
        <f>IFERROR((COUNTIFS(Eventos[Jugador],$A10,Eventos[Evento],"Regate",Eventos[Resultado],"OK"))*90/$B10,0)</f>
        <v>0</v>
      </c>
      <c r="I10">
        <f>IFERROR((COUNTIFS(Eventos[Jugador],$A10,Eventos[Evento],"Centro bueno"))*90/$B10,0)</f>
        <v>0</v>
      </c>
      <c r="J10">
        <f>IFERROR((COUNTIFS(Eventos[Jugador],$A10,Eventos[Evento],"Duel",Eventos[Resultado],"Ganado"))*90/$B10,0)</f>
        <v>0</v>
      </c>
      <c r="K10">
        <f>IFERROR((COUNTIFS(Eventos[Jugador],$A10,Eventos[Evento],"Duel aéreo",Eventos[Resultado],"Ganado"))*90/$B10,0)</f>
        <v>0</v>
      </c>
      <c r="L10">
        <f>IFERROR((COUNTIFS(Eventos[Jugador],$A10,Eventos[Evento],"Intercepción"))*90/$B10,0)</f>
        <v>0</v>
      </c>
      <c r="M10">
        <f>IFERROR((COUNTIFS(Eventos[Jugador],$A10,Eventos[Evento],"Entrada"))*90/$B10,0)</f>
        <v>0</v>
      </c>
      <c r="N10">
        <f>IFERROR((COUNTIFS(Eventos[Jugador],$A10,Eventos[Evento],"Recuperación alta"))*90/$B10,0)</f>
        <v>0</v>
      </c>
      <c r="O10">
        <f>IFERROR((COUNTIFS(Eventos[Jugador],$A10,Eventos[Evento],"Pérdida NF"))*90/$B10,0)</f>
        <v>0</v>
      </c>
      <c r="P10">
        <f>IFERROR((COUNTIFS(Eventos[Jugador],$A10,Eventos[Evento],"Falta cometida"))*90/$B10,0)</f>
        <v>0</v>
      </c>
      <c r="Q10">
        <f t="shared" si="0"/>
        <v>0</v>
      </c>
      <c r="R10" t="e">
        <f>SUMPRODUCT(D10:P10, AB1:AB13)</f>
        <v>#VALUE!</v>
      </c>
      <c r="S10" t="e">
        <f t="shared" si="1"/>
        <v>#VALUE!</v>
      </c>
      <c r="T10">
        <f t="shared" si="2"/>
        <v>0</v>
      </c>
      <c r="U10" t="e">
        <f t="shared" si="3"/>
        <v>#VALUE!</v>
      </c>
      <c r="V10" t="e">
        <f t="shared" ca="1" si="4"/>
        <v>#NAME?</v>
      </c>
      <c r="W10" t="e">
        <f t="shared" ca="1" si="5"/>
        <v>#NAME?</v>
      </c>
      <c r="AA10" t="s">
        <v>32</v>
      </c>
      <c r="AB10">
        <f>IF($C2="DF",  INDEX(PESOS!$B$2:$B$14, MATCH($AA10, PESOS!$A$2:$A$14, 0)), IF($C2="MF",  INDEX(PESOS!$C$2:$C$14, MATCH($AA10, PESOS!$A$2:$A$14, 0)), IF($C2="FW",  INDEX(PESOS!$D$2:$D$14, MATCH($AA10, PESOS!$A$2:$A$14, 0)), INDEX(PESOS!$E$2:$E$14, MATCH($AA10, PESOS!$A$2:$A$14, 0)))))</f>
        <v>0.4</v>
      </c>
    </row>
    <row r="11" spans="1:28" x14ac:dyDescent="0.2">
      <c r="A11" t="str">
        <f>FICHA_PARTIDO!E14</f>
        <v>Aitor</v>
      </c>
      <c r="B11">
        <f>IFERROR(INDEX(FICHA_PARTIDO!$G$5:$G$22, MATCH($A11, FICHA_PARTIDO!$E$5:$E$22, 0)), 90)</f>
        <v>0</v>
      </c>
      <c r="C11" t="str">
        <f>IFERROR(INDEX(FICHA_PARTIDO!$F$5:$F$22, MATCH($A11, FICHA_PARTIDO!$E$5:$E$22, 0)), "MF")</f>
        <v>DL</v>
      </c>
      <c r="D11">
        <f>IFERROR((COUNTIFS(Eventos[Jugador],$A11,Eventos[Evento],"Gol"))*90/$B11,0)</f>
        <v>0</v>
      </c>
      <c r="E11">
        <f>IFERROR((COUNTIFS(Eventos[Jugador],$A11,Eventos[Evento],"Asistencia"))*90/$B11,0)</f>
        <v>0</v>
      </c>
      <c r="F11">
        <f>IFERROR((COUNTIFS(Eventos[Jugador],$A11,Eventos[Evento],"Tiro",Eventos[Resultado],"AP"))*90/$B11,0)</f>
        <v>0</v>
      </c>
      <c r="G11">
        <f>IFERROR((COUNTIFS(Eventos[Jugador],$A11,Eventos[Evento],"Pase clave"))*90/$B11,0)</f>
        <v>0</v>
      </c>
      <c r="H11">
        <f>IFERROR((COUNTIFS(Eventos[Jugador],$A11,Eventos[Evento],"Regate",Eventos[Resultado],"OK"))*90/$B11,0)</f>
        <v>0</v>
      </c>
      <c r="I11">
        <f>IFERROR((COUNTIFS(Eventos[Jugador],$A11,Eventos[Evento],"Centro bueno"))*90/$B11,0)</f>
        <v>0</v>
      </c>
      <c r="J11">
        <f>IFERROR((COUNTIFS(Eventos[Jugador],$A11,Eventos[Evento],"Duel",Eventos[Resultado],"Ganado"))*90/$B11,0)</f>
        <v>0</v>
      </c>
      <c r="K11">
        <f>IFERROR((COUNTIFS(Eventos[Jugador],$A11,Eventos[Evento],"Duel aéreo",Eventos[Resultado],"Ganado"))*90/$B11,0)</f>
        <v>0</v>
      </c>
      <c r="L11">
        <f>IFERROR((COUNTIFS(Eventos[Jugador],$A11,Eventos[Evento],"Intercepción"))*90/$B11,0)</f>
        <v>0</v>
      </c>
      <c r="M11">
        <f>IFERROR((COUNTIFS(Eventos[Jugador],$A11,Eventos[Evento],"Entrada"))*90/$B11,0)</f>
        <v>0</v>
      </c>
      <c r="N11">
        <f>IFERROR((COUNTIFS(Eventos[Jugador],$A11,Eventos[Evento],"Recuperación alta"))*90/$B11,0)</f>
        <v>0</v>
      </c>
      <c r="O11">
        <f>IFERROR((COUNTIFS(Eventos[Jugador],$A11,Eventos[Evento],"Pérdida NF"))*90/$B11,0)</f>
        <v>0</v>
      </c>
      <c r="P11">
        <f>IFERROR((COUNTIFS(Eventos[Jugador],$A11,Eventos[Evento],"Falta cometida"))*90/$B11,0)</f>
        <v>0</v>
      </c>
      <c r="Q11">
        <f t="shared" si="0"/>
        <v>0</v>
      </c>
      <c r="R11" t="e">
        <f>SUMPRODUCT(D11:P11, AB1:AB13)</f>
        <v>#VALUE!</v>
      </c>
      <c r="S11" t="e">
        <f t="shared" si="1"/>
        <v>#VALUE!</v>
      </c>
      <c r="T11">
        <f t="shared" si="2"/>
        <v>0</v>
      </c>
      <c r="U11" t="e">
        <f t="shared" si="3"/>
        <v>#VALUE!</v>
      </c>
      <c r="V11" t="e">
        <f t="shared" ca="1" si="4"/>
        <v>#NAME?</v>
      </c>
      <c r="W11" t="e">
        <f t="shared" ca="1" si="5"/>
        <v>#NAME?</v>
      </c>
      <c r="AA11" t="s">
        <v>34</v>
      </c>
      <c r="AB11">
        <f>IF($C2="DF",  INDEX(PESOS!$B$2:$B$14, MATCH($AA11, PESOS!$A$2:$A$14, 0)), IF($C2="MF",  INDEX(PESOS!$C$2:$C$14, MATCH($AA11, PESOS!$A$2:$A$14, 0)), IF($C2="FW",  INDEX(PESOS!$D$2:$D$14, MATCH($AA11, PESOS!$A$2:$A$14, 0)), INDEX(PESOS!$E$2:$E$14, MATCH($AA11, PESOS!$A$2:$A$14, 0)))))</f>
        <v>0.2</v>
      </c>
    </row>
    <row r="12" spans="1:28" x14ac:dyDescent="0.2">
      <c r="A12" t="str">
        <f>FICHA_PARTIDO!E15</f>
        <v>Jairo</v>
      </c>
      <c r="B12">
        <f>IFERROR(INDEX(FICHA_PARTIDO!$G$5:$G$22, MATCH($A12, FICHA_PARTIDO!$E$5:$E$22, 0)), 90)</f>
        <v>0</v>
      </c>
      <c r="C12" t="str">
        <f>IFERROR(INDEX(FICHA_PARTIDO!$F$5:$F$22, MATCH($A12, FICHA_PARTIDO!$E$5:$E$22, 0)), "MF")</f>
        <v>MC</v>
      </c>
      <c r="D12">
        <f>IFERROR((COUNTIFS(Eventos[Jugador],$A12,Eventos[Evento],"Gol"))*90/$B12,0)</f>
        <v>0</v>
      </c>
      <c r="E12">
        <f>IFERROR((COUNTIFS(Eventos[Jugador],$A12,Eventos[Evento],"Asistencia"))*90/$B12,0)</f>
        <v>0</v>
      </c>
      <c r="F12">
        <f>IFERROR((COUNTIFS(Eventos[Jugador],$A12,Eventos[Evento],"Tiro",Eventos[Resultado],"AP"))*90/$B12,0)</f>
        <v>0</v>
      </c>
      <c r="G12">
        <f>IFERROR((COUNTIFS(Eventos[Jugador],$A12,Eventos[Evento],"Pase clave"))*90/$B12,0)</f>
        <v>0</v>
      </c>
      <c r="H12">
        <f>IFERROR((COUNTIFS(Eventos[Jugador],$A12,Eventos[Evento],"Regate",Eventos[Resultado],"OK"))*90/$B12,0)</f>
        <v>0</v>
      </c>
      <c r="I12">
        <f>IFERROR((COUNTIFS(Eventos[Jugador],$A12,Eventos[Evento],"Centro bueno"))*90/$B12,0)</f>
        <v>0</v>
      </c>
      <c r="J12">
        <f>IFERROR((COUNTIFS(Eventos[Jugador],$A12,Eventos[Evento],"Duel",Eventos[Resultado],"Ganado"))*90/$B12,0)</f>
        <v>0</v>
      </c>
      <c r="K12">
        <f>IFERROR((COUNTIFS(Eventos[Jugador],$A12,Eventos[Evento],"Duel aéreo",Eventos[Resultado],"Ganado"))*90/$B12,0)</f>
        <v>0</v>
      </c>
      <c r="L12">
        <f>IFERROR((COUNTIFS(Eventos[Jugador],$A12,Eventos[Evento],"Intercepción"))*90/$B12,0)</f>
        <v>0</v>
      </c>
      <c r="M12">
        <f>IFERROR((COUNTIFS(Eventos[Jugador],$A12,Eventos[Evento],"Entrada"))*90/$B12,0)</f>
        <v>0</v>
      </c>
      <c r="N12">
        <f>IFERROR((COUNTIFS(Eventos[Jugador],$A12,Eventos[Evento],"Recuperación alta"))*90/$B12,0)</f>
        <v>0</v>
      </c>
      <c r="O12">
        <f>IFERROR((COUNTIFS(Eventos[Jugador],$A12,Eventos[Evento],"Pérdida NF"))*90/$B12,0)</f>
        <v>0</v>
      </c>
      <c r="P12">
        <f>IFERROR((COUNTIFS(Eventos[Jugador],$A12,Eventos[Evento],"Falta cometida"))*90/$B12,0)</f>
        <v>0</v>
      </c>
      <c r="Q12">
        <f t="shared" si="0"/>
        <v>0</v>
      </c>
      <c r="R12" t="e">
        <f>SUMPRODUCT(D12:P12, AB1:AB13)</f>
        <v>#VALUE!</v>
      </c>
      <c r="S12" t="e">
        <f t="shared" si="1"/>
        <v>#VALUE!</v>
      </c>
      <c r="T12">
        <f t="shared" si="2"/>
        <v>0</v>
      </c>
      <c r="U12" t="e">
        <f t="shared" si="3"/>
        <v>#VALUE!</v>
      </c>
      <c r="V12" t="e">
        <f t="shared" ca="1" si="4"/>
        <v>#NAME?</v>
      </c>
      <c r="W12" t="e">
        <f t="shared" ca="1" si="5"/>
        <v>#NAME?</v>
      </c>
      <c r="AA12" t="s">
        <v>36</v>
      </c>
      <c r="AB12">
        <f>IF($C2="DF",  INDEX(PESOS!$B$2:$B$14, MATCH($AA12, PESOS!$A$2:$A$14, 0)), IF($C2="MF",  INDEX(PESOS!$C$2:$C$14, MATCH($AA12, PESOS!$A$2:$A$14, 0)), IF($C2="FW",  INDEX(PESOS!$D$2:$D$14, MATCH($AA12, PESOS!$A$2:$A$14, 0)), INDEX(PESOS!$E$2:$E$14, MATCH($AA12, PESOS!$A$2:$A$14, 0)))))</f>
        <v>-0.3</v>
      </c>
    </row>
    <row r="13" spans="1:28" x14ac:dyDescent="0.2">
      <c r="A13" t="str">
        <f>FICHA_PARTIDO!E16</f>
        <v>Francis</v>
      </c>
      <c r="B13">
        <f>IFERROR(INDEX(FICHA_PARTIDO!$G$5:$G$22, MATCH($A13, FICHA_PARTIDO!$E$5:$E$22, 0)), 90)</f>
        <v>0</v>
      </c>
      <c r="C13" t="str">
        <f>IFERROR(INDEX(FICHA_PARTIDO!$F$5:$F$22, MATCH($A13, FICHA_PARTIDO!$E$5:$E$22, 0)), "MF")</f>
        <v>LTI</v>
      </c>
      <c r="D13">
        <f>IFERROR((COUNTIFS(Eventos[Jugador],$A13,Eventos[Evento],"Gol"))*90/$B13,0)</f>
        <v>0</v>
      </c>
      <c r="E13">
        <f>IFERROR((COUNTIFS(Eventos[Jugador],$A13,Eventos[Evento],"Asistencia"))*90/$B13,0)</f>
        <v>0</v>
      </c>
      <c r="F13">
        <f>IFERROR((COUNTIFS(Eventos[Jugador],$A13,Eventos[Evento],"Tiro",Eventos[Resultado],"AP"))*90/$B13,0)</f>
        <v>0</v>
      </c>
      <c r="G13">
        <f>IFERROR((COUNTIFS(Eventos[Jugador],$A13,Eventos[Evento],"Pase clave"))*90/$B13,0)</f>
        <v>0</v>
      </c>
      <c r="H13">
        <f>IFERROR((COUNTIFS(Eventos[Jugador],$A13,Eventos[Evento],"Regate",Eventos[Resultado],"OK"))*90/$B13,0)</f>
        <v>0</v>
      </c>
      <c r="I13">
        <f>IFERROR((COUNTIFS(Eventos[Jugador],$A13,Eventos[Evento],"Centro bueno"))*90/$B13,0)</f>
        <v>0</v>
      </c>
      <c r="J13">
        <f>IFERROR((COUNTIFS(Eventos[Jugador],$A13,Eventos[Evento],"Duel",Eventos[Resultado],"Ganado"))*90/$B13,0)</f>
        <v>0</v>
      </c>
      <c r="K13">
        <f>IFERROR((COUNTIFS(Eventos[Jugador],$A13,Eventos[Evento],"Duel aéreo",Eventos[Resultado],"Ganado"))*90/$B13,0)</f>
        <v>0</v>
      </c>
      <c r="L13">
        <f>IFERROR((COUNTIFS(Eventos[Jugador],$A13,Eventos[Evento],"Intercepción"))*90/$B13,0)</f>
        <v>0</v>
      </c>
      <c r="M13">
        <f>IFERROR((COUNTIFS(Eventos[Jugador],$A13,Eventos[Evento],"Entrada"))*90/$B13,0)</f>
        <v>0</v>
      </c>
      <c r="N13">
        <f>IFERROR((COUNTIFS(Eventos[Jugador],$A13,Eventos[Evento],"Recuperación alta"))*90/$B13,0)</f>
        <v>0</v>
      </c>
      <c r="O13">
        <f>IFERROR((COUNTIFS(Eventos[Jugador],$A13,Eventos[Evento],"Pérdida NF"))*90/$B13,0)</f>
        <v>0</v>
      </c>
      <c r="P13">
        <f>IFERROR((COUNTIFS(Eventos[Jugador],$A13,Eventos[Evento],"Falta cometida"))*90/$B13,0)</f>
        <v>0</v>
      </c>
      <c r="Q13">
        <f t="shared" si="0"/>
        <v>0</v>
      </c>
      <c r="R13" t="e">
        <f>SUMPRODUCT(D13:P13, AB1:AB13)</f>
        <v>#VALUE!</v>
      </c>
      <c r="S13" t="e">
        <f t="shared" si="1"/>
        <v>#VALUE!</v>
      </c>
      <c r="T13">
        <f t="shared" si="2"/>
        <v>0</v>
      </c>
      <c r="U13" t="e">
        <f t="shared" si="3"/>
        <v>#VALUE!</v>
      </c>
      <c r="V13" t="e">
        <f t="shared" ca="1" si="4"/>
        <v>#NAME?</v>
      </c>
      <c r="W13" t="e">
        <f t="shared" ca="1" si="5"/>
        <v>#NAME?</v>
      </c>
      <c r="AA13" t="s">
        <v>38</v>
      </c>
      <c r="AB13">
        <f>IF($C2="DF",  INDEX(PESOS!$B$2:$B$14, MATCH($AA13, PESOS!$A$2:$A$14, 0)), IF($C2="MF",  INDEX(PESOS!$C$2:$C$14, MATCH($AA13, PESOS!$A$2:$A$14, 0)), IF($C2="FW",  INDEX(PESOS!$D$2:$D$14, MATCH($AA13, PESOS!$A$2:$A$14, 0)), INDEX(PESOS!$E$2:$E$14, MATCH($AA13, PESOS!$A$2:$A$14, 0)))))</f>
        <v>-0.3</v>
      </c>
    </row>
    <row r="14" spans="1:28" x14ac:dyDescent="0.2">
      <c r="A14" t="str">
        <f>FICHA_PARTIDO!E17</f>
        <v>Cristian</v>
      </c>
      <c r="B14">
        <f>IFERROR(INDEX(FICHA_PARTIDO!$G$5:$G$22, MATCH($A14, FICHA_PARTIDO!$E$5:$E$22, 0)), 90)</f>
        <v>0</v>
      </c>
      <c r="C14" t="str">
        <f>IFERROR(INDEX(FICHA_PARTIDO!$F$5:$F$22, MATCH($A14, FICHA_PARTIDO!$E$5:$E$22, 0)), "MF")</f>
        <v>DL</v>
      </c>
      <c r="D14">
        <f>IFERROR((COUNTIFS(Eventos[Jugador],$A14,Eventos[Evento],"Gol"))*90/$B14,0)</f>
        <v>0</v>
      </c>
      <c r="E14">
        <f>IFERROR((COUNTIFS(Eventos[Jugador],$A14,Eventos[Evento],"Asistencia"))*90/$B14,0)</f>
        <v>0</v>
      </c>
      <c r="F14">
        <f>IFERROR((COUNTIFS(Eventos[Jugador],$A14,Eventos[Evento],"Tiro",Eventos[Resultado],"AP"))*90/$B14,0)</f>
        <v>0</v>
      </c>
      <c r="G14">
        <f>IFERROR((COUNTIFS(Eventos[Jugador],$A14,Eventos[Evento],"Pase clave"))*90/$B14,0)</f>
        <v>0</v>
      </c>
      <c r="H14">
        <f>IFERROR((COUNTIFS(Eventos[Jugador],$A14,Eventos[Evento],"Regate",Eventos[Resultado],"OK"))*90/$B14,0)</f>
        <v>0</v>
      </c>
      <c r="I14">
        <f>IFERROR((COUNTIFS(Eventos[Jugador],$A14,Eventos[Evento],"Centro bueno"))*90/$B14,0)</f>
        <v>0</v>
      </c>
      <c r="J14">
        <f>IFERROR((COUNTIFS(Eventos[Jugador],$A14,Eventos[Evento],"Duel",Eventos[Resultado],"Ganado"))*90/$B14,0)</f>
        <v>0</v>
      </c>
      <c r="K14">
        <f>IFERROR((COUNTIFS(Eventos[Jugador],$A14,Eventos[Evento],"Duel aéreo",Eventos[Resultado],"Ganado"))*90/$B14,0)</f>
        <v>0</v>
      </c>
      <c r="L14">
        <f>IFERROR((COUNTIFS(Eventos[Jugador],$A14,Eventos[Evento],"Intercepción"))*90/$B14,0)</f>
        <v>0</v>
      </c>
      <c r="M14">
        <f>IFERROR((COUNTIFS(Eventos[Jugador],$A14,Eventos[Evento],"Entrada"))*90/$B14,0)</f>
        <v>0</v>
      </c>
      <c r="N14">
        <f>IFERROR((COUNTIFS(Eventos[Jugador],$A14,Eventos[Evento],"Recuperación alta"))*90/$B14,0)</f>
        <v>0</v>
      </c>
      <c r="O14">
        <f>IFERROR((COUNTIFS(Eventos[Jugador],$A14,Eventos[Evento],"Pérdida NF"))*90/$B14,0)</f>
        <v>0</v>
      </c>
      <c r="P14">
        <f>IFERROR((COUNTIFS(Eventos[Jugador],$A14,Eventos[Evento],"Falta cometida"))*90/$B14,0)</f>
        <v>0</v>
      </c>
      <c r="Q14">
        <f t="shared" si="0"/>
        <v>0</v>
      </c>
      <c r="R14" t="e">
        <f>SUMPRODUCT(D14:P14, AB1:AB13)</f>
        <v>#VALUE!</v>
      </c>
      <c r="S14" t="e">
        <f t="shared" si="1"/>
        <v>#VALUE!</v>
      </c>
      <c r="T14">
        <f t="shared" si="2"/>
        <v>0</v>
      </c>
      <c r="U14" t="e">
        <f t="shared" si="3"/>
        <v>#VALUE!</v>
      </c>
      <c r="V14" t="e">
        <f t="shared" ca="1" si="4"/>
        <v>#NAME?</v>
      </c>
      <c r="W14" t="e">
        <f t="shared" ca="1" si="5"/>
        <v>#NAME?</v>
      </c>
    </row>
    <row r="15" spans="1:28" x14ac:dyDescent="0.2">
      <c r="A15" t="str">
        <f>FICHA_PARTIDO!E18</f>
        <v>Jaime</v>
      </c>
      <c r="B15">
        <f>IFERROR(INDEX(FICHA_PARTIDO!$G$5:$G$22, MATCH($A15, FICHA_PARTIDO!$E$5:$E$22, 0)), 90)</f>
        <v>0</v>
      </c>
      <c r="C15" t="str">
        <f>IFERROR(INDEX(FICHA_PARTIDO!$F$5:$F$22, MATCH($A15, FICHA_PARTIDO!$E$5:$E$22, 0)), "MF")</f>
        <v>MC</v>
      </c>
      <c r="D15">
        <f>IFERROR((COUNTIFS(Eventos[Jugador],$A15,Eventos[Evento],"Gol"))*90/$B15,0)</f>
        <v>0</v>
      </c>
      <c r="E15">
        <f>IFERROR((COUNTIFS(Eventos[Jugador],$A15,Eventos[Evento],"Asistencia"))*90/$B15,0)</f>
        <v>0</v>
      </c>
      <c r="F15">
        <f>IFERROR((COUNTIFS(Eventos[Jugador],$A15,Eventos[Evento],"Tiro",Eventos[Resultado],"AP"))*90/$B15,0)</f>
        <v>0</v>
      </c>
      <c r="G15">
        <f>IFERROR((COUNTIFS(Eventos[Jugador],$A15,Eventos[Evento],"Pase clave"))*90/$B15,0)</f>
        <v>0</v>
      </c>
      <c r="H15">
        <f>IFERROR((COUNTIFS(Eventos[Jugador],$A15,Eventos[Evento],"Regate",Eventos[Resultado],"OK"))*90/$B15,0)</f>
        <v>0</v>
      </c>
      <c r="I15">
        <f>IFERROR((COUNTIFS(Eventos[Jugador],$A15,Eventos[Evento],"Centro bueno"))*90/$B15,0)</f>
        <v>0</v>
      </c>
      <c r="J15">
        <f>IFERROR((COUNTIFS(Eventos[Jugador],$A15,Eventos[Evento],"Duel",Eventos[Resultado],"Ganado"))*90/$B15,0)</f>
        <v>0</v>
      </c>
      <c r="K15">
        <f>IFERROR((COUNTIFS(Eventos[Jugador],$A15,Eventos[Evento],"Duel aéreo",Eventos[Resultado],"Ganado"))*90/$B15,0)</f>
        <v>0</v>
      </c>
      <c r="L15">
        <f>IFERROR((COUNTIFS(Eventos[Jugador],$A15,Eventos[Evento],"Intercepción"))*90/$B15,0)</f>
        <v>0</v>
      </c>
      <c r="M15">
        <f>IFERROR((COUNTIFS(Eventos[Jugador],$A15,Eventos[Evento],"Entrada"))*90/$B15,0)</f>
        <v>0</v>
      </c>
      <c r="N15">
        <f>IFERROR((COUNTIFS(Eventos[Jugador],$A15,Eventos[Evento],"Recuperación alta"))*90/$B15,0)</f>
        <v>0</v>
      </c>
      <c r="O15">
        <f>IFERROR((COUNTIFS(Eventos[Jugador],$A15,Eventos[Evento],"Pérdida NF"))*90/$B15,0)</f>
        <v>0</v>
      </c>
      <c r="P15">
        <f>IFERROR((COUNTIFS(Eventos[Jugador],$A15,Eventos[Evento],"Falta cometida"))*90/$B15,0)</f>
        <v>0</v>
      </c>
      <c r="Q15">
        <f t="shared" si="0"/>
        <v>0</v>
      </c>
      <c r="R15" t="e">
        <f>SUMPRODUCT(D15:P15, AB1:AB13)</f>
        <v>#VALUE!</v>
      </c>
      <c r="S15" t="e">
        <f t="shared" si="1"/>
        <v>#VALUE!</v>
      </c>
      <c r="T15">
        <f t="shared" si="2"/>
        <v>0</v>
      </c>
      <c r="U15" t="e">
        <f t="shared" si="3"/>
        <v>#VALUE!</v>
      </c>
      <c r="V15" t="e">
        <f t="shared" ca="1" si="4"/>
        <v>#NAME?</v>
      </c>
      <c r="W15" t="e">
        <f t="shared" ca="1" si="5"/>
        <v>#NAME?</v>
      </c>
    </row>
    <row r="16" spans="1:28" x14ac:dyDescent="0.2">
      <c r="A16" t="str">
        <f>FICHA_PARTIDO!E19</f>
        <v>Jorge</v>
      </c>
      <c r="B16">
        <f>IFERROR(INDEX(FICHA_PARTIDO!$G$5:$G$22, MATCH($A16, FICHA_PARTIDO!$E$5:$E$22, 0)), 90)</f>
        <v>0</v>
      </c>
      <c r="C16" t="str">
        <f>IFERROR(INDEX(FICHA_PARTIDO!$F$5:$F$22, MATCH($A16, FICHA_PARTIDO!$E$5:$E$22, 0)), "MF")</f>
        <v>DF</v>
      </c>
      <c r="D16">
        <f>IFERROR((COUNTIFS(Eventos[Jugador],$A16,Eventos[Evento],"Gol"))*90/$B16,0)</f>
        <v>0</v>
      </c>
      <c r="E16">
        <f>IFERROR((COUNTIFS(Eventos[Jugador],$A16,Eventos[Evento],"Asistencia"))*90/$B16,0)</f>
        <v>0</v>
      </c>
      <c r="F16">
        <f>IFERROR((COUNTIFS(Eventos[Jugador],$A16,Eventos[Evento],"Tiro",Eventos[Resultado],"AP"))*90/$B16,0)</f>
        <v>0</v>
      </c>
      <c r="G16">
        <f>IFERROR((COUNTIFS(Eventos[Jugador],$A16,Eventos[Evento],"Pase clave"))*90/$B16,0)</f>
        <v>0</v>
      </c>
      <c r="H16">
        <f>IFERROR((COUNTIFS(Eventos[Jugador],$A16,Eventos[Evento],"Regate",Eventos[Resultado],"OK"))*90/$B16,0)</f>
        <v>0</v>
      </c>
      <c r="I16">
        <f>IFERROR((COUNTIFS(Eventos[Jugador],$A16,Eventos[Evento],"Centro bueno"))*90/$B16,0)</f>
        <v>0</v>
      </c>
      <c r="J16">
        <f>IFERROR((COUNTIFS(Eventos[Jugador],$A16,Eventos[Evento],"Duel",Eventos[Resultado],"Ganado"))*90/$B16,0)</f>
        <v>0</v>
      </c>
      <c r="K16">
        <f>IFERROR((COUNTIFS(Eventos[Jugador],$A16,Eventos[Evento],"Duel aéreo",Eventos[Resultado],"Ganado"))*90/$B16,0)</f>
        <v>0</v>
      </c>
      <c r="L16">
        <f>IFERROR((COUNTIFS(Eventos[Jugador],$A16,Eventos[Evento],"Intercepción"))*90/$B16,0)</f>
        <v>0</v>
      </c>
      <c r="M16">
        <f>IFERROR((COUNTIFS(Eventos[Jugador],$A16,Eventos[Evento],"Entrada"))*90/$B16,0)</f>
        <v>0</v>
      </c>
      <c r="N16">
        <f>IFERROR((COUNTIFS(Eventos[Jugador],$A16,Eventos[Evento],"Recuperación alta"))*90/$B16,0)</f>
        <v>0</v>
      </c>
      <c r="O16">
        <f>IFERROR((COUNTIFS(Eventos[Jugador],$A16,Eventos[Evento],"Pérdida NF"))*90/$B16,0)</f>
        <v>0</v>
      </c>
      <c r="P16">
        <f>IFERROR((COUNTIFS(Eventos[Jugador],$A16,Eventos[Evento],"Falta cometida"))*90/$B16,0)</f>
        <v>0</v>
      </c>
      <c r="Q16">
        <f t="shared" si="0"/>
        <v>0</v>
      </c>
      <c r="R16" t="e">
        <f>SUMPRODUCT(D16:P16, AB1:AB13)</f>
        <v>#VALUE!</v>
      </c>
      <c r="S16" t="e">
        <f t="shared" si="1"/>
        <v>#VALUE!</v>
      </c>
      <c r="T16">
        <f t="shared" si="2"/>
        <v>0</v>
      </c>
      <c r="U16" t="e">
        <f t="shared" si="3"/>
        <v>#VALUE!</v>
      </c>
      <c r="V16" t="e">
        <f t="shared" ca="1" si="4"/>
        <v>#NAME?</v>
      </c>
      <c r="W16" t="e">
        <f t="shared" ca="1" si="5"/>
        <v>#NAME?</v>
      </c>
    </row>
    <row r="17" spans="1:23" x14ac:dyDescent="0.2">
      <c r="A17" t="str">
        <f>FICHA_PARTIDO!E20</f>
        <v>Acosta</v>
      </c>
      <c r="B17">
        <f>IFERROR(INDEX(FICHA_PARTIDO!$G$5:$G$22, MATCH($A17, FICHA_PARTIDO!$E$5:$E$22, 0)), 90)</f>
        <v>0</v>
      </c>
      <c r="C17" t="str">
        <f>IFERROR(INDEX(FICHA_PARTIDO!$F$5:$F$22, MATCH($A17, FICHA_PARTIDO!$E$5:$E$22, 0)), "MF")</f>
        <v>EXT</v>
      </c>
      <c r="D17">
        <f>IFERROR((COUNTIFS(Eventos[Jugador],$A17,Eventos[Evento],"Gol"))*90/$B17,0)</f>
        <v>0</v>
      </c>
      <c r="E17">
        <f>IFERROR((COUNTIFS(Eventos[Jugador],$A17,Eventos[Evento],"Asistencia"))*90/$B17,0)</f>
        <v>0</v>
      </c>
      <c r="F17">
        <f>IFERROR((COUNTIFS(Eventos[Jugador],$A17,Eventos[Evento],"Tiro",Eventos[Resultado],"AP"))*90/$B17,0)</f>
        <v>0</v>
      </c>
      <c r="G17">
        <f>IFERROR((COUNTIFS(Eventos[Jugador],$A17,Eventos[Evento],"Pase clave"))*90/$B17,0)</f>
        <v>0</v>
      </c>
      <c r="H17">
        <f>IFERROR((COUNTIFS(Eventos[Jugador],$A17,Eventos[Evento],"Regate",Eventos[Resultado],"OK"))*90/$B17,0)</f>
        <v>0</v>
      </c>
      <c r="I17">
        <f>IFERROR((COUNTIFS(Eventos[Jugador],$A17,Eventos[Evento],"Centro bueno"))*90/$B17,0)</f>
        <v>0</v>
      </c>
      <c r="J17">
        <f>IFERROR((COUNTIFS(Eventos[Jugador],$A17,Eventos[Evento],"Duel",Eventos[Resultado],"Ganado"))*90/$B17,0)</f>
        <v>0</v>
      </c>
      <c r="K17">
        <f>IFERROR((COUNTIFS(Eventos[Jugador],$A17,Eventos[Evento],"Duel aéreo",Eventos[Resultado],"Ganado"))*90/$B17,0)</f>
        <v>0</v>
      </c>
      <c r="L17">
        <f>IFERROR((COUNTIFS(Eventos[Jugador],$A17,Eventos[Evento],"Intercepción"))*90/$B17,0)</f>
        <v>0</v>
      </c>
      <c r="M17">
        <f>IFERROR((COUNTIFS(Eventos[Jugador],$A17,Eventos[Evento],"Entrada"))*90/$B17,0)</f>
        <v>0</v>
      </c>
      <c r="N17">
        <f>IFERROR((COUNTIFS(Eventos[Jugador],$A17,Eventos[Evento],"Recuperación alta"))*90/$B17,0)</f>
        <v>0</v>
      </c>
      <c r="O17">
        <f>IFERROR((COUNTIFS(Eventos[Jugador],$A17,Eventos[Evento],"Pérdida NF"))*90/$B17,0)</f>
        <v>0</v>
      </c>
      <c r="P17">
        <f>IFERROR((COUNTIFS(Eventos[Jugador],$A17,Eventos[Evento],"Falta cometida"))*90/$B17,0)</f>
        <v>0</v>
      </c>
      <c r="Q17">
        <f t="shared" si="0"/>
        <v>0</v>
      </c>
      <c r="R17" t="e">
        <f>SUMPRODUCT(D17:P17, AB1:AB13)</f>
        <v>#VALUE!</v>
      </c>
      <c r="S17" t="e">
        <f t="shared" si="1"/>
        <v>#VALUE!</v>
      </c>
      <c r="T17">
        <f t="shared" si="2"/>
        <v>0</v>
      </c>
      <c r="U17" t="e">
        <f t="shared" si="3"/>
        <v>#VALUE!</v>
      </c>
      <c r="V17" t="e">
        <f t="shared" ca="1" si="4"/>
        <v>#NAME?</v>
      </c>
      <c r="W17" t="e">
        <f t="shared" ca="1" si="5"/>
        <v>#NAME?</v>
      </c>
    </row>
    <row r="18" spans="1:23" x14ac:dyDescent="0.2">
      <c r="A18" t="str">
        <f>FICHA_PARTIDO!E21</f>
        <v>Juanmi</v>
      </c>
      <c r="B18">
        <f>IFERROR(INDEX(FICHA_PARTIDO!$G$5:$G$22, MATCH($A18, FICHA_PARTIDO!$E$5:$E$22, 0)), 90)</f>
        <v>0</v>
      </c>
      <c r="C18" t="str">
        <f>IFERROR(INDEX(FICHA_PARTIDO!$F$5:$F$22, MATCH($A18, FICHA_PARTIDO!$E$5:$E$22, 0)), "MF")</f>
        <v>DF</v>
      </c>
      <c r="D18">
        <f>IFERROR((COUNTIFS(Eventos[Jugador],$A18,Eventos[Evento],"Gol"))*90/$B18,0)</f>
        <v>0</v>
      </c>
      <c r="E18">
        <f>IFERROR((COUNTIFS(Eventos[Jugador],$A18,Eventos[Evento],"Asistencia"))*90/$B18,0)</f>
        <v>0</v>
      </c>
      <c r="F18">
        <f>IFERROR((COUNTIFS(Eventos[Jugador],$A18,Eventos[Evento],"Tiro",Eventos[Resultado],"AP"))*90/$B18,0)</f>
        <v>0</v>
      </c>
      <c r="G18">
        <f>IFERROR((COUNTIFS(Eventos[Jugador],$A18,Eventos[Evento],"Pase clave"))*90/$B18,0)</f>
        <v>0</v>
      </c>
      <c r="H18">
        <f>IFERROR((COUNTIFS(Eventos[Jugador],$A18,Eventos[Evento],"Regate",Eventos[Resultado],"OK"))*90/$B18,0)</f>
        <v>0</v>
      </c>
      <c r="I18">
        <f>IFERROR((COUNTIFS(Eventos[Jugador],$A18,Eventos[Evento],"Centro bueno"))*90/$B18,0)</f>
        <v>0</v>
      </c>
      <c r="J18">
        <f>IFERROR((COUNTIFS(Eventos[Jugador],$A18,Eventos[Evento],"Duel",Eventos[Resultado],"Ganado"))*90/$B18,0)</f>
        <v>0</v>
      </c>
      <c r="K18">
        <f>IFERROR((COUNTIFS(Eventos[Jugador],$A18,Eventos[Evento],"Duel aéreo",Eventos[Resultado],"Ganado"))*90/$B18,0)</f>
        <v>0</v>
      </c>
      <c r="L18">
        <f>IFERROR((COUNTIFS(Eventos[Jugador],$A18,Eventos[Evento],"Intercepción"))*90/$B18,0)</f>
        <v>0</v>
      </c>
      <c r="M18">
        <f>IFERROR((COUNTIFS(Eventos[Jugador],$A18,Eventos[Evento],"Entrada"))*90/$B18,0)</f>
        <v>0</v>
      </c>
      <c r="N18">
        <f>IFERROR((COUNTIFS(Eventos[Jugador],$A18,Eventos[Evento],"Recuperación alta"))*90/$B18,0)</f>
        <v>0</v>
      </c>
      <c r="O18">
        <f>IFERROR((COUNTIFS(Eventos[Jugador],$A18,Eventos[Evento],"Pérdida NF"))*90/$B18,0)</f>
        <v>0</v>
      </c>
      <c r="P18">
        <f>IFERROR((COUNTIFS(Eventos[Jugador],$A18,Eventos[Evento],"Falta cometida"))*90/$B18,0)</f>
        <v>0</v>
      </c>
      <c r="Q18">
        <f t="shared" si="0"/>
        <v>0</v>
      </c>
      <c r="R18" t="e">
        <f>SUMPRODUCT(D18:P18, AB1:AB13)</f>
        <v>#VALUE!</v>
      </c>
      <c r="S18" t="e">
        <f t="shared" si="1"/>
        <v>#VALUE!</v>
      </c>
      <c r="T18">
        <f t="shared" si="2"/>
        <v>0</v>
      </c>
      <c r="U18" t="e">
        <f t="shared" si="3"/>
        <v>#VALUE!</v>
      </c>
      <c r="V18" t="e">
        <f t="shared" ca="1" si="4"/>
        <v>#NAME?</v>
      </c>
      <c r="W18" t="e">
        <f t="shared" ca="1" si="5"/>
        <v>#NAME?</v>
      </c>
    </row>
    <row r="19" spans="1:23" x14ac:dyDescent="0.2">
      <c r="A19" t="str">
        <f>FICHA_PARTIDO!E22</f>
        <v>Victor</v>
      </c>
      <c r="B19">
        <f>IFERROR(INDEX(FICHA_PARTIDO!$G$5:$G$22, MATCH($A19, FICHA_PARTIDO!$E$5:$E$22, 0)), 90)</f>
        <v>0</v>
      </c>
      <c r="C19" t="str">
        <f>IFERROR(INDEX(FICHA_PARTIDO!$F$5:$F$22, MATCH($A19, FICHA_PARTIDO!$E$5:$E$22, 0)), "MF")</f>
        <v>DF</v>
      </c>
      <c r="D19">
        <f>IFERROR((COUNTIFS(Eventos[Jugador],$A19,Eventos[Evento],"Gol"))*90/$B19,0)</f>
        <v>0</v>
      </c>
      <c r="E19">
        <f>IFERROR((COUNTIFS(Eventos[Jugador],$A19,Eventos[Evento],"Asistencia"))*90/$B19,0)</f>
        <v>0</v>
      </c>
      <c r="F19">
        <f>IFERROR((COUNTIFS(Eventos[Jugador],$A19,Eventos[Evento],"Tiro",Eventos[Resultado],"AP"))*90/$B19,0)</f>
        <v>0</v>
      </c>
      <c r="G19">
        <f>IFERROR((COUNTIFS(Eventos[Jugador],$A19,Eventos[Evento],"Pase clave"))*90/$B19,0)</f>
        <v>0</v>
      </c>
      <c r="H19">
        <f>IFERROR((COUNTIFS(Eventos[Jugador],$A19,Eventos[Evento],"Regate",Eventos[Resultado],"OK"))*90/$B19,0)</f>
        <v>0</v>
      </c>
      <c r="I19">
        <f>IFERROR((COUNTIFS(Eventos[Jugador],$A19,Eventos[Evento],"Centro bueno"))*90/$B19,0)</f>
        <v>0</v>
      </c>
      <c r="J19">
        <f>IFERROR((COUNTIFS(Eventos[Jugador],$A19,Eventos[Evento],"Duel",Eventos[Resultado],"Ganado"))*90/$B19,0)</f>
        <v>0</v>
      </c>
      <c r="K19">
        <f>IFERROR((COUNTIFS(Eventos[Jugador],$A19,Eventos[Evento],"Duel aéreo",Eventos[Resultado],"Ganado"))*90/$B19,0)</f>
        <v>0</v>
      </c>
      <c r="L19">
        <f>IFERROR((COUNTIFS(Eventos[Jugador],$A19,Eventos[Evento],"Intercepción"))*90/$B19,0)</f>
        <v>0</v>
      </c>
      <c r="M19">
        <f>IFERROR((COUNTIFS(Eventos[Jugador],$A19,Eventos[Evento],"Entrada"))*90/$B19,0)</f>
        <v>0</v>
      </c>
      <c r="N19">
        <f>IFERROR((COUNTIFS(Eventos[Jugador],$A19,Eventos[Evento],"Recuperación alta"))*90/$B19,0)</f>
        <v>0</v>
      </c>
      <c r="O19">
        <f>IFERROR((COUNTIFS(Eventos[Jugador],$A19,Eventos[Evento],"Pérdida NF"))*90/$B19,0)</f>
        <v>0</v>
      </c>
      <c r="P19">
        <f>IFERROR((COUNTIFS(Eventos[Jugador],$A19,Eventos[Evento],"Falta cometida"))*90/$B19,0)</f>
        <v>0</v>
      </c>
      <c r="Q19">
        <f t="shared" si="0"/>
        <v>0</v>
      </c>
      <c r="R19" t="e">
        <f>SUMPRODUCT(D19:P19, AB1:AB13)</f>
        <v>#VALUE!</v>
      </c>
      <c r="S19" t="e">
        <f t="shared" si="1"/>
        <v>#VALUE!</v>
      </c>
      <c r="T19">
        <f t="shared" si="2"/>
        <v>0</v>
      </c>
      <c r="U19" t="e">
        <f t="shared" si="3"/>
        <v>#VALUE!</v>
      </c>
      <c r="V19" t="e">
        <f t="shared" ca="1" si="4"/>
        <v>#NAME?</v>
      </c>
      <c r="W19" t="e">
        <f t="shared" ca="1" si="5"/>
        <v>#NAME?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16</vt:i4>
      </vt:variant>
      <vt:variant>
        <vt:lpstr>Rangos con nombre</vt:lpstr>
      </vt:variant>
      <vt:variant>
        <vt:i4>4</vt:i4>
      </vt:variant>
    </vt:vector>
  </HeadingPairs>
  <TitlesOfParts>
    <vt:vector size="20" baseType="lpstr">
      <vt:lpstr>FICHA_PARTIDO</vt:lpstr>
      <vt:lpstr>DASHBOARD GENERAL</vt:lpstr>
      <vt:lpstr>TEAM_ANALYTICS</vt:lpstr>
      <vt:lpstr>LISTAS</vt:lpstr>
      <vt:lpstr>SISTEMA_PRO</vt:lpstr>
      <vt:lpstr>HELPER_JUGADOR</vt:lpstr>
      <vt:lpstr>RADAR_JUGADOR</vt:lpstr>
      <vt:lpstr>CALCULOS</vt:lpstr>
      <vt:lpstr>BD_EVENTOS</vt:lpstr>
      <vt:lpstr>SISTEMA_COACH</vt:lpstr>
      <vt:lpstr>PANEL_COACH</vt:lpstr>
      <vt:lpstr>SISTEMA_LIVE</vt:lpstr>
      <vt:lpstr>ABP</vt:lpstr>
      <vt:lpstr>EXPORTAR</vt:lpstr>
      <vt:lpstr>PESOS</vt:lpstr>
      <vt:lpstr>VALORACION_AUTO</vt:lpstr>
      <vt:lpstr>ListaEventos</vt:lpstr>
      <vt:lpstr>ListaJugadores</vt:lpstr>
      <vt:lpstr>ListaResultados</vt:lpstr>
      <vt:lpstr>ListaZonas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MIGUEL ANGEL Pérez Rodríguez</cp:lastModifiedBy>
  <dcterms:created xsi:type="dcterms:W3CDTF">2025-11-09T14:53:16Z</dcterms:created>
  <dcterms:modified xsi:type="dcterms:W3CDTF">2026-02-01T11:57:16Z</dcterms:modified>
</cp:coreProperties>
</file>